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8bbbaa6367577a/Documents/Projet ROV/"/>
    </mc:Choice>
  </mc:AlternateContent>
  <xr:revisionPtr revIDLastSave="27" documentId="13_ncr:1_{B2A7D9EE-2791-4AA6-9F58-AE3493008ED9}" xr6:coauthVersionLast="47" xr6:coauthVersionMax="47" xr10:uidLastSave="{FC01158B-0683-4A44-B9D0-1ADEB18374F7}"/>
  <bookViews>
    <workbookView xWindow="-120" yWindow="-120" windowWidth="29040" windowHeight="15720" xr2:uid="{DB299C8F-BC93-4B03-82ED-EDC1EFAE3C08}"/>
  </bookViews>
  <sheets>
    <sheet name="Traînée ROV" sheetId="1" r:id="rId1"/>
    <sheet name="Défaut" sheetId="3" r:id="rId2"/>
    <sheet name="Système linéair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6" i="1" s="1"/>
  <c r="M12" i="1" s="1"/>
  <c r="I2" i="1"/>
  <c r="M10" i="1"/>
  <c r="I5" i="1"/>
  <c r="I7" i="1" s="1"/>
  <c r="D15" i="1" a="1"/>
  <c r="D15" i="1" s="1"/>
  <c r="D7" i="1"/>
  <c r="D9" i="1" s="1"/>
  <c r="C16" i="4"/>
  <c r="D10" i="4"/>
  <c r="G9" i="4" s="1"/>
  <c r="D9" i="4"/>
  <c r="E10" i="4"/>
  <c r="E9" i="4"/>
  <c r="D6" i="4"/>
  <c r="D5" i="4"/>
  <c r="F2" i="4"/>
  <c r="F27" i="3"/>
  <c r="F29" i="3" s="1"/>
  <c r="G27" i="3"/>
  <c r="H27" i="3"/>
  <c r="E27" i="3"/>
  <c r="E29" i="3" s="1"/>
  <c r="H26" i="3"/>
  <c r="H29" i="3"/>
  <c r="G29" i="3"/>
  <c r="F26" i="3"/>
  <c r="G26" i="3"/>
  <c r="E26" i="3"/>
  <c r="E18" i="3"/>
  <c r="H12" i="3"/>
  <c r="H13" i="3" s="1"/>
  <c r="H14" i="3" s="1"/>
  <c r="H15" i="3" s="1"/>
  <c r="H11" i="3"/>
  <c r="H18" i="3"/>
  <c r="G4" i="3"/>
  <c r="G5" i="3"/>
  <c r="G11" i="3"/>
  <c r="G12" i="3"/>
  <c r="G13" i="3" s="1"/>
  <c r="G14" i="3" s="1"/>
  <c r="G15" i="3" s="1"/>
  <c r="G18" i="3"/>
  <c r="F11" i="3"/>
  <c r="F12" i="3"/>
  <c r="E11" i="3"/>
  <c r="F18" i="3"/>
  <c r="F5" i="3"/>
  <c r="E4" i="3"/>
  <c r="E12" i="3" s="1"/>
  <c r="D16" i="1" a="1"/>
  <c r="D16" i="1" s="1"/>
  <c r="D18" i="1" s="1"/>
  <c r="N4" i="1" l="1"/>
  <c r="M14" i="1"/>
  <c r="I9" i="1"/>
  <c r="H5" i="3"/>
  <c r="F13" i="3"/>
  <c r="E13" i="3"/>
  <c r="E14" i="3" s="1"/>
  <c r="E15" i="3" s="1"/>
  <c r="E5" i="3"/>
  <c r="F14" i="3" l="1"/>
  <c r="F1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<sst xmlns="http://schemas.openxmlformats.org/spreadsheetml/2006/main" count="95" uniqueCount="67">
  <si>
    <t>Cy</t>
  </si>
  <si>
    <t>Vol</t>
  </si>
  <si>
    <t>g</t>
  </si>
  <si>
    <t>a</t>
  </si>
  <si>
    <t>b</t>
  </si>
  <si>
    <t xml:space="preserve">Rho </t>
  </si>
  <si>
    <t>Rho</t>
  </si>
  <si>
    <t>h</t>
  </si>
  <si>
    <t>Traînée</t>
  </si>
  <si>
    <t>Archimède</t>
  </si>
  <si>
    <t>Poids</t>
  </si>
  <si>
    <t>masse</t>
  </si>
  <si>
    <t>mv</t>
  </si>
  <si>
    <t>Poids linéique</t>
  </si>
  <si>
    <t>N / m</t>
  </si>
  <si>
    <t>kg / M3</t>
  </si>
  <si>
    <t>m</t>
  </si>
  <si>
    <t>Diamètre câble</t>
  </si>
  <si>
    <t>Vitesse</t>
  </si>
  <si>
    <t>Poids apparent linéique</t>
  </si>
  <si>
    <t>Poids apparent 10 m</t>
  </si>
  <si>
    <t>N / M</t>
  </si>
  <si>
    <t>N</t>
  </si>
  <si>
    <t>ROV</t>
  </si>
  <si>
    <t>Masse</t>
  </si>
  <si>
    <t>Volume</t>
  </si>
  <si>
    <t>Largeur (a)</t>
  </si>
  <si>
    <t>Longueur (b)</t>
  </si>
  <si>
    <t>Hauteur (h)</t>
  </si>
  <si>
    <t>Cx</t>
  </si>
  <si>
    <t>Masse vol eau</t>
  </si>
  <si>
    <t>Viscosité</t>
  </si>
  <si>
    <t>Poussé Archimède</t>
  </si>
  <si>
    <t>Poids apparent</t>
  </si>
  <si>
    <t>Diamètre</t>
  </si>
  <si>
    <t>Masse volumique</t>
  </si>
  <si>
    <t>m/s</t>
  </si>
  <si>
    <t>Pa s</t>
  </si>
  <si>
    <t>m s-2</t>
  </si>
  <si>
    <t>kg /m3</t>
  </si>
  <si>
    <t>kg</t>
  </si>
  <si>
    <t>m3</t>
  </si>
  <si>
    <t>kg / m3</t>
  </si>
  <si>
    <t>N /M</t>
  </si>
  <si>
    <t>km / h</t>
  </si>
  <si>
    <t>Mass volumique</t>
  </si>
  <si>
    <t>Défaut</t>
  </si>
  <si>
    <t>M6</t>
  </si>
  <si>
    <t>CABLE</t>
  </si>
  <si>
    <t>x0</t>
  </si>
  <si>
    <t>y0</t>
  </si>
  <si>
    <t>Longueur</t>
  </si>
  <si>
    <t xml:space="preserve">Poids apparent </t>
  </si>
  <si>
    <t>Vitesse limite libre</t>
  </si>
  <si>
    <t>M7</t>
  </si>
  <si>
    <t>Nb de Reynolds</t>
  </si>
  <si>
    <t>Urov_x</t>
  </si>
  <si>
    <t>Urov_y</t>
  </si>
  <si>
    <t>Ubat_x</t>
  </si>
  <si>
    <t>Ubat_y</t>
  </si>
  <si>
    <t>Largeur</t>
  </si>
  <si>
    <t>Hauteur</t>
  </si>
  <si>
    <t>Vx</t>
  </si>
  <si>
    <t>Vy</t>
  </si>
  <si>
    <t>Vitesse de chûte</t>
  </si>
  <si>
    <t>Surface frontale</t>
  </si>
  <si>
    <t>Surface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</si>
</sst>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_-;\-* #,##0.0000_-;_-* &quot;-&quot;??_-;_-@_-"/>
    <numFmt numFmtId="167" formatCode="_-* #,##0.0000000_-;\-* #,##0.0000000_-;_-* &quot;-&quot;??_-;_-@_-"/>
    <numFmt numFmtId="168" formatCode="_-* #,##0.000000000_-;\-* #,##0.000000000_-;_-* &quot;-&quot;??_-;_-@_-"/>
    <numFmt numFmtId="169" formatCode="_-* #,##0.000_-;\-* #,##0.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right"/>
    </xf>
    <xf numFmtId="43" fontId="0" fillId="0" borderId="0" xfId="1" applyFont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0" fontId="2" fillId="0" borderId="0" xfId="0" applyFont="1"/>
    <xf numFmtId="43" fontId="2" fillId="0" borderId="0" xfId="1" applyFont="1"/>
    <xf numFmtId="169" fontId="0" fillId="0" borderId="0" xfId="1" applyNumberFormat="1" applyFont="1"/>
    <xf numFmtId="169" fontId="2" fillId="0" borderId="0" xfId="1" applyNumberFormat="1" applyFont="1"/>
  </cellXfs>
  <cellStyles count="2">
    <cellStyle name="Milliers" xfId="1" builtinId="3"/>
    <cellStyle name="Normal" xfId="0" builtinId="0"/>
  </cellStyles>
  <dxfs count="3">
    <dxf>
      <font>
        <color theme="3" tint="0.2499465926084170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64BA-B9B5-4F28-AD0C-D9CA645A41BB}">
  <dimension ref="B2:N18"/>
  <sheetViews>
    <sheetView tabSelected="1" zoomScale="102" workbookViewId="0">
      <selection activeCell="D3" sqref="D3"/>
    </sheetView>
  </sheetViews>
  <sheetFormatPr baseColWidth="10" defaultRowHeight="14.4" x14ac:dyDescent="0.3"/>
  <cols>
    <col min="4" max="4" width="12" bestFit="1" customWidth="1"/>
    <col min="12" max="12" width="13.44140625" customWidth="1"/>
    <col min="13" max="13" width="12.33203125" bestFit="1" customWidth="1"/>
  </cols>
  <sheetData>
    <row r="2" spans="2:14" x14ac:dyDescent="0.3">
      <c r="C2" s="2" t="s">
        <v>5</v>
      </c>
      <c r="D2">
        <v>1025</v>
      </c>
      <c r="H2" s="2" t="s">
        <v>5</v>
      </c>
      <c r="I2">
        <f>D2</f>
        <v>1025</v>
      </c>
      <c r="L2" t="s">
        <v>6</v>
      </c>
      <c r="M2">
        <f>D2</f>
        <v>1025</v>
      </c>
    </row>
    <row r="3" spans="2:14" x14ac:dyDescent="0.3">
      <c r="C3" s="2" t="s">
        <v>29</v>
      </c>
      <c r="D3">
        <v>0.9</v>
      </c>
      <c r="H3" s="2" t="s">
        <v>0</v>
      </c>
      <c r="I3">
        <v>0.9</v>
      </c>
    </row>
    <row r="4" spans="2:14" x14ac:dyDescent="0.3">
      <c r="L4" t="s">
        <v>1</v>
      </c>
      <c r="M4" s="13">
        <v>2.7E-2</v>
      </c>
      <c r="N4" s="4">
        <f>M2*M4</f>
        <v>27.675000000000001</v>
      </c>
    </row>
    <row r="5" spans="2:14" x14ac:dyDescent="0.3">
      <c r="B5" t="s">
        <v>60</v>
      </c>
      <c r="C5" s="2" t="s">
        <v>3</v>
      </c>
      <c r="D5">
        <v>0.5</v>
      </c>
      <c r="G5" t="s">
        <v>60</v>
      </c>
      <c r="H5" s="2" t="s">
        <v>3</v>
      </c>
      <c r="I5" s="3">
        <f>D5</f>
        <v>0.5</v>
      </c>
      <c r="L5" t="s">
        <v>2</v>
      </c>
      <c r="M5" s="3">
        <v>9.81</v>
      </c>
    </row>
    <row r="6" spans="2:14" x14ac:dyDescent="0.3">
      <c r="B6" t="s">
        <v>61</v>
      </c>
      <c r="C6" s="2" t="s">
        <v>7</v>
      </c>
      <c r="D6">
        <v>0.5</v>
      </c>
      <c r="G6" t="s">
        <v>51</v>
      </c>
      <c r="H6" s="2" t="s">
        <v>4</v>
      </c>
      <c r="I6" s="3">
        <v>1</v>
      </c>
      <c r="L6" s="1" t="s">
        <v>9</v>
      </c>
      <c r="M6" s="3">
        <f>M4*M5*M2</f>
        <v>271.49174999999997</v>
      </c>
    </row>
    <row r="7" spans="2:14" x14ac:dyDescent="0.3">
      <c r="B7" t="s">
        <v>65</v>
      </c>
      <c r="C7" s="2"/>
      <c r="D7">
        <f>D5*D6</f>
        <v>0.25</v>
      </c>
      <c r="G7" t="s">
        <v>66</v>
      </c>
      <c r="H7" s="2"/>
      <c r="I7" s="3">
        <f>I5*I6</f>
        <v>0.5</v>
      </c>
      <c r="M7" s="3"/>
    </row>
    <row r="8" spans="2:14" x14ac:dyDescent="0.3">
      <c r="B8" t="s">
        <v>18</v>
      </c>
      <c r="C8" s="2" t="s">
        <v>62</v>
      </c>
      <c r="D8">
        <v>2</v>
      </c>
      <c r="G8" t="s">
        <v>18</v>
      </c>
      <c r="H8" s="2" t="s">
        <v>63</v>
      </c>
      <c r="I8" s="3">
        <v>2</v>
      </c>
      <c r="L8" t="s">
        <v>11</v>
      </c>
      <c r="M8" s="3">
        <v>30</v>
      </c>
    </row>
    <row r="9" spans="2:14" x14ac:dyDescent="0.3">
      <c r="C9" s="2" t="s">
        <v>8</v>
      </c>
      <c r="D9" s="1">
        <f>0.5*D2*D3*D7*POWER(D8,2)</f>
        <v>461.25</v>
      </c>
      <c r="E9" s="1" t="s">
        <v>22</v>
      </c>
      <c r="F9" s="1"/>
      <c r="H9" s="2" t="s">
        <v>8</v>
      </c>
      <c r="I9" s="3">
        <f>0.5*I2*I3*I7*POWER(I8,2)</f>
        <v>922.5</v>
      </c>
      <c r="J9" s="1" t="s">
        <v>22</v>
      </c>
      <c r="K9" s="1"/>
      <c r="L9" t="s">
        <v>2</v>
      </c>
      <c r="M9" s="3">
        <v>9.81</v>
      </c>
    </row>
    <row r="10" spans="2:14" x14ac:dyDescent="0.3">
      <c r="C10" s="2"/>
      <c r="H10" s="2"/>
      <c r="I10" s="3"/>
      <c r="L10" t="s">
        <v>10</v>
      </c>
      <c r="M10" s="12">
        <f>-1*M8*M9</f>
        <v>-294.3</v>
      </c>
    </row>
    <row r="11" spans="2:14" x14ac:dyDescent="0.3">
      <c r="C11" s="2"/>
      <c r="I11" s="3"/>
      <c r="M11" s="3"/>
    </row>
    <row r="12" spans="2:14" x14ac:dyDescent="0.3">
      <c r="I12" s="3"/>
      <c r="L12" t="s">
        <v>33</v>
      </c>
      <c r="M12" s="12">
        <f>M6+M10</f>
        <v>-22.808250000000044</v>
      </c>
    </row>
    <row r="13" spans="2:14" x14ac:dyDescent="0.3">
      <c r="C13" s="2" t="s">
        <v>17</v>
      </c>
      <c r="D13">
        <v>1E-3</v>
      </c>
      <c r="E13" t="s">
        <v>16</v>
      </c>
      <c r="I13" s="3"/>
      <c r="M13" s="3"/>
    </row>
    <row r="14" spans="2:14" x14ac:dyDescent="0.3">
      <c r="C14" s="2" t="s">
        <v>12</v>
      </c>
      <c r="D14">
        <v>1500</v>
      </c>
      <c r="E14" t="s">
        <v>15</v>
      </c>
      <c r="L14" t="s">
        <v>64</v>
      </c>
      <c r="M14" s="14">
        <f>SQRT(ABS(2*M12/(M2*I3*I7)))</f>
        <v>0.3144798260232442</v>
      </c>
      <c r="N14" t="s">
        <v>36</v>
      </c>
    </row>
    <row r="15" spans="2:14" x14ac:dyDescent="0.3">
      <c r="C15" s="2" t="s">
        <v>13</v>
      </c>
      <c r="D15" cm="1">
        <f t="array" ref="D15">D14*PI()*POWER(D13:D13,2)/4</f>
        <v>1.1780972450961724E-3</v>
      </c>
      <c r="E15" t="s">
        <v>14</v>
      </c>
    </row>
    <row r="16" spans="2:14" x14ac:dyDescent="0.3">
      <c r="C16" s="2" t="s">
        <v>19</v>
      </c>
      <c r="D16" cm="1">
        <f t="array" ref="D16">(D14-D2)*PI()*POWER(D13:D13,2)/4</f>
        <v>3.7306412761378791E-4</v>
      </c>
      <c r="E16" t="s">
        <v>21</v>
      </c>
      <c r="J16" s="11"/>
    </row>
    <row r="18" spans="3:5" x14ac:dyDescent="0.3">
      <c r="C18" s="2" t="s">
        <v>20</v>
      </c>
      <c r="D18">
        <f>10*D16</f>
        <v>3.7306412761378789E-3</v>
      </c>
      <c r="E1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1782-6D39-4617-9EA8-2993F40F002C}">
  <dimension ref="A1:O29"/>
  <sheetViews>
    <sheetView zoomScale="85" zoomScaleNormal="85" workbookViewId="0">
      <selection activeCell="G29" sqref="G29"/>
    </sheetView>
  </sheetViews>
  <sheetFormatPr baseColWidth="10" defaultRowHeight="14.4" x14ac:dyDescent="0.3"/>
  <cols>
    <col min="1" max="1" width="15.5546875" customWidth="1"/>
    <col min="4" max="4" width="23.6640625" customWidth="1"/>
    <col min="5" max="5" width="15.6640625" customWidth="1"/>
    <col min="6" max="11" width="15.44140625" customWidth="1"/>
    <col min="12" max="12" width="4" customWidth="1"/>
    <col min="13" max="13" width="12.5546875" bestFit="1" customWidth="1"/>
    <col min="14" max="15" width="12.5546875" customWidth="1"/>
    <col min="16" max="16" width="12.5546875" bestFit="1" customWidth="1"/>
  </cols>
  <sheetData>
    <row r="1" spans="1:13" x14ac:dyDescent="0.3">
      <c r="E1" s="7" t="s">
        <v>46</v>
      </c>
      <c r="F1" s="7" t="s">
        <v>47</v>
      </c>
      <c r="G1" s="7" t="s">
        <v>54</v>
      </c>
      <c r="H1" s="7" t="s">
        <v>54</v>
      </c>
      <c r="I1" s="7"/>
      <c r="J1" s="7"/>
      <c r="K1" s="7"/>
    </row>
    <row r="2" spans="1:13" x14ac:dyDescent="0.3">
      <c r="A2" t="s">
        <v>30</v>
      </c>
      <c r="B2">
        <v>1025</v>
      </c>
      <c r="C2" t="s">
        <v>39</v>
      </c>
      <c r="D2" s="5" t="s">
        <v>23</v>
      </c>
    </row>
    <row r="3" spans="1:13" x14ac:dyDescent="0.3">
      <c r="A3" t="s">
        <v>2</v>
      </c>
      <c r="B3">
        <v>9.81</v>
      </c>
      <c r="C3" t="s">
        <v>38</v>
      </c>
      <c r="D3" s="2" t="s">
        <v>24</v>
      </c>
      <c r="E3" s="3">
        <v>100</v>
      </c>
      <c r="F3" s="3">
        <v>30</v>
      </c>
      <c r="G3" s="3">
        <v>30</v>
      </c>
      <c r="H3" s="3">
        <v>30</v>
      </c>
      <c r="I3" s="3"/>
      <c r="J3" s="3"/>
      <c r="K3" s="3"/>
      <c r="L3" s="3"/>
      <c r="M3" t="s">
        <v>40</v>
      </c>
    </row>
    <row r="4" spans="1:13" x14ac:dyDescent="0.3">
      <c r="A4" t="s">
        <v>31</v>
      </c>
      <c r="B4">
        <v>1E-3</v>
      </c>
      <c r="C4" t="s">
        <v>37</v>
      </c>
      <c r="D4" s="2" t="s">
        <v>25</v>
      </c>
      <c r="E4" s="8">
        <f>E6*E7*E8</f>
        <v>0.25</v>
      </c>
      <c r="F4" s="8">
        <v>0.02</v>
      </c>
      <c r="G4" s="10">
        <f>G3/B2</f>
        <v>2.9268292682926831E-2</v>
      </c>
      <c r="H4" s="9">
        <v>2.9268292682926831E-2</v>
      </c>
      <c r="I4" s="8"/>
      <c r="J4" s="8"/>
      <c r="K4" s="8"/>
      <c r="L4" s="3"/>
      <c r="M4" t="s">
        <v>41</v>
      </c>
    </row>
    <row r="5" spans="1:13" x14ac:dyDescent="0.3">
      <c r="D5" s="2" t="s">
        <v>45</v>
      </c>
      <c r="E5" s="3">
        <f>E3/E4</f>
        <v>400</v>
      </c>
      <c r="F5" s="3">
        <f>F3/F4</f>
        <v>1500</v>
      </c>
      <c r="G5" s="3">
        <f>G3/G4</f>
        <v>1025</v>
      </c>
      <c r="H5" s="3">
        <f>H3/H4</f>
        <v>1025</v>
      </c>
      <c r="I5" s="3"/>
      <c r="J5" s="3"/>
      <c r="K5" s="3"/>
      <c r="L5" s="3"/>
    </row>
    <row r="6" spans="1:13" x14ac:dyDescent="0.3">
      <c r="D6" s="2" t="s">
        <v>26</v>
      </c>
      <c r="E6" s="3">
        <v>0.5</v>
      </c>
      <c r="F6" s="3">
        <v>0.5</v>
      </c>
      <c r="G6" s="3">
        <v>0.5</v>
      </c>
      <c r="H6" s="3">
        <v>0.5</v>
      </c>
      <c r="I6" s="3"/>
      <c r="J6" s="3"/>
      <c r="K6" s="3"/>
      <c r="L6" s="3"/>
      <c r="M6" t="s">
        <v>16</v>
      </c>
    </row>
    <row r="7" spans="1:13" x14ac:dyDescent="0.3">
      <c r="D7" s="2" t="s">
        <v>27</v>
      </c>
      <c r="E7" s="3">
        <v>1</v>
      </c>
      <c r="F7" s="3">
        <v>1</v>
      </c>
      <c r="G7" s="3">
        <v>1</v>
      </c>
      <c r="H7" s="3">
        <v>1</v>
      </c>
      <c r="I7" s="3"/>
      <c r="J7" s="3"/>
      <c r="K7" s="3"/>
      <c r="L7" s="3"/>
      <c r="M7" t="s">
        <v>16</v>
      </c>
    </row>
    <row r="8" spans="1:13" x14ac:dyDescent="0.3">
      <c r="D8" s="2" t="s">
        <v>28</v>
      </c>
      <c r="E8" s="3">
        <v>0.5</v>
      </c>
      <c r="F8" s="3">
        <v>0.5</v>
      </c>
      <c r="G8" s="3">
        <v>0.5</v>
      </c>
      <c r="H8" s="3">
        <v>0.5</v>
      </c>
      <c r="I8" s="3"/>
      <c r="J8" s="3"/>
      <c r="K8" s="3"/>
      <c r="L8" s="3"/>
      <c r="M8" t="s">
        <v>16</v>
      </c>
    </row>
    <row r="9" spans="1:13" x14ac:dyDescent="0.3">
      <c r="D9" s="2" t="s">
        <v>29</v>
      </c>
      <c r="E9" s="3">
        <v>0.8</v>
      </c>
      <c r="F9" s="3">
        <v>0.8</v>
      </c>
      <c r="G9" s="3">
        <v>0.8</v>
      </c>
      <c r="H9" s="3">
        <v>0.8</v>
      </c>
      <c r="I9" s="3"/>
      <c r="J9" s="3"/>
      <c r="K9" s="3"/>
      <c r="L9" s="3"/>
    </row>
    <row r="10" spans="1:13" x14ac:dyDescent="0.3">
      <c r="D10" s="2" t="s">
        <v>0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</row>
    <row r="11" spans="1:13" x14ac:dyDescent="0.3">
      <c r="D11" s="2" t="s">
        <v>10</v>
      </c>
      <c r="E11" s="3">
        <f>-E3*$B3</f>
        <v>-981</v>
      </c>
      <c r="F11" s="3">
        <f>-F3*$B3</f>
        <v>-294.3</v>
      </c>
      <c r="G11" s="3">
        <f>-G3*$B3</f>
        <v>-294.3</v>
      </c>
      <c r="H11" s="3">
        <f>-H3*$B3</f>
        <v>-294.3</v>
      </c>
      <c r="I11" s="3"/>
      <c r="J11" s="3"/>
      <c r="K11" s="3"/>
      <c r="L11" s="3"/>
      <c r="M11" t="s">
        <v>22</v>
      </c>
    </row>
    <row r="12" spans="1:13" x14ac:dyDescent="0.3">
      <c r="D12" s="2" t="s">
        <v>32</v>
      </c>
      <c r="E12" s="3">
        <f>E4*$B2*$B3</f>
        <v>2513.8125</v>
      </c>
      <c r="F12" s="3">
        <f>F4*$B2*$B3</f>
        <v>201.10500000000002</v>
      </c>
      <c r="G12" s="3">
        <f>G4*$B2*$B3</f>
        <v>294.3</v>
      </c>
      <c r="H12" s="3">
        <f>H4*$B2*$B3</f>
        <v>294.3</v>
      </c>
      <c r="I12" s="3"/>
      <c r="J12" s="3"/>
      <c r="K12" s="3"/>
      <c r="L12" s="3"/>
      <c r="M12" t="s">
        <v>22</v>
      </c>
    </row>
    <row r="13" spans="1:13" x14ac:dyDescent="0.3">
      <c r="D13" s="2" t="s">
        <v>33</v>
      </c>
      <c r="E13" s="3">
        <f>E11+E12</f>
        <v>1532.8125</v>
      </c>
      <c r="F13" s="3">
        <f>F11+F12</f>
        <v>-93.194999999999993</v>
      </c>
      <c r="G13" s="3">
        <f>G11+G12</f>
        <v>0</v>
      </c>
      <c r="H13" s="3">
        <f>H11+H12</f>
        <v>0</v>
      </c>
      <c r="I13" s="3"/>
      <c r="J13" s="3"/>
      <c r="K13" s="3"/>
      <c r="L13" s="3"/>
      <c r="M13" t="s">
        <v>22</v>
      </c>
    </row>
    <row r="14" spans="1:13" x14ac:dyDescent="0.3">
      <c r="D14" s="2" t="s">
        <v>53</v>
      </c>
      <c r="E14" s="3">
        <f>SIGN(E13)*SQRT(ABS(2*E13/(E10*$B2*E6*E7)))</f>
        <v>2.4457529141499905</v>
      </c>
      <c r="F14" s="3">
        <f>SIGN(F13)*SQRT(ABS(2*F13/(F10*$B2*F6*F7)))</f>
        <v>-0.60306534047153526</v>
      </c>
      <c r="G14" s="3">
        <f>SIGN(G13)*SQRT(ABS(2*G13/(G10*$B2*G6*G7)))</f>
        <v>0</v>
      </c>
      <c r="H14" s="3">
        <f>SIGN(H13)*SQRT(ABS(2*H13/(H10*$B2*H6*H7)))</f>
        <v>0</v>
      </c>
      <c r="I14" s="3"/>
      <c r="J14" s="3"/>
      <c r="K14" s="3"/>
      <c r="L14" s="3"/>
      <c r="M14" t="s">
        <v>36</v>
      </c>
    </row>
    <row r="15" spans="1:13" x14ac:dyDescent="0.3">
      <c r="D15" s="2"/>
      <c r="E15" s="3">
        <f>E14*3.6</f>
        <v>8.804710490939966</v>
      </c>
      <c r="F15" s="3">
        <f>F14*3.6</f>
        <v>-2.1710352256975272</v>
      </c>
      <c r="G15" s="3">
        <f>G14*3.6</f>
        <v>0</v>
      </c>
      <c r="H15" s="3">
        <f>H14*3.6</f>
        <v>0</v>
      </c>
      <c r="I15" s="3"/>
      <c r="J15" s="3"/>
      <c r="K15" s="3"/>
      <c r="L15" s="4"/>
      <c r="M15" t="s">
        <v>44</v>
      </c>
    </row>
    <row r="16" spans="1:13" x14ac:dyDescent="0.3">
      <c r="D16" s="2"/>
    </row>
    <row r="17" spans="4:15" x14ac:dyDescent="0.3">
      <c r="D17" s="2" t="s">
        <v>18</v>
      </c>
      <c r="E17">
        <v>0.1</v>
      </c>
      <c r="F17">
        <v>0.1</v>
      </c>
      <c r="G17">
        <v>0.1</v>
      </c>
      <c r="H17">
        <v>0.1</v>
      </c>
      <c r="N17" s="4"/>
      <c r="O17" s="4"/>
    </row>
    <row r="18" spans="4:15" x14ac:dyDescent="0.3">
      <c r="D18" s="2" t="s">
        <v>55</v>
      </c>
      <c r="E18" s="4">
        <f>$B2*E17*E7/$B4</f>
        <v>102500</v>
      </c>
      <c r="F18" s="4">
        <f>$B2*F17*F7/$B4</f>
        <v>102500</v>
      </c>
      <c r="G18" s="4">
        <f>$B2*G17*G7/$B4</f>
        <v>102500</v>
      </c>
      <c r="H18" s="4">
        <f>$B2*H17*H7/$B4</f>
        <v>102500</v>
      </c>
      <c r="I18" s="4"/>
      <c r="J18" s="4"/>
      <c r="K18" s="4"/>
      <c r="L18" s="4"/>
    </row>
    <row r="19" spans="4:15" x14ac:dyDescent="0.3">
      <c r="D19" s="2"/>
      <c r="E19" s="4"/>
      <c r="F19" s="4"/>
      <c r="G19" s="4"/>
      <c r="H19" s="4"/>
      <c r="I19" s="4"/>
      <c r="J19" s="4"/>
      <c r="K19" s="4"/>
      <c r="L19" s="4"/>
    </row>
    <row r="20" spans="4:15" x14ac:dyDescent="0.3">
      <c r="D20" s="2" t="s">
        <v>49</v>
      </c>
      <c r="E20" s="4"/>
      <c r="F20" s="4">
        <v>5</v>
      </c>
      <c r="G20" s="4">
        <v>2</v>
      </c>
      <c r="H20" s="4">
        <v>4</v>
      </c>
      <c r="I20" s="4"/>
      <c r="J20" s="4"/>
      <c r="K20" s="4"/>
      <c r="L20" s="4"/>
    </row>
    <row r="21" spans="4:15" x14ac:dyDescent="0.3">
      <c r="D21" s="2" t="s">
        <v>50</v>
      </c>
      <c r="E21" s="4"/>
      <c r="F21" s="4">
        <v>-10</v>
      </c>
      <c r="G21" s="4">
        <v>-15</v>
      </c>
      <c r="H21" s="4">
        <v>0</v>
      </c>
      <c r="I21" s="4"/>
      <c r="J21" s="4"/>
      <c r="K21" s="4"/>
      <c r="L21" s="4"/>
    </row>
    <row r="22" spans="4:15" x14ac:dyDescent="0.3">
      <c r="E22" s="4"/>
      <c r="F22" s="4"/>
      <c r="G22" s="4"/>
      <c r="H22" s="4"/>
      <c r="I22" s="4"/>
      <c r="J22" s="4"/>
      <c r="K22" s="4"/>
      <c r="L22" s="4"/>
    </row>
    <row r="23" spans="4:15" x14ac:dyDescent="0.3">
      <c r="D23" s="6" t="s">
        <v>48</v>
      </c>
    </row>
    <row r="24" spans="4:15" x14ac:dyDescent="0.3">
      <c r="D24" s="2" t="s">
        <v>34</v>
      </c>
      <c r="E24" s="8">
        <v>0.01</v>
      </c>
      <c r="F24" s="8">
        <v>0.01</v>
      </c>
      <c r="G24" s="8">
        <v>0.01</v>
      </c>
      <c r="H24" s="8">
        <v>0.01</v>
      </c>
      <c r="I24" s="8"/>
      <c r="J24" s="8"/>
      <c r="K24" s="8"/>
      <c r="M24" t="s">
        <v>16</v>
      </c>
    </row>
    <row r="25" spans="4:15" x14ac:dyDescent="0.3">
      <c r="D25" s="2" t="s">
        <v>35</v>
      </c>
      <c r="E25" s="8">
        <v>1500</v>
      </c>
      <c r="F25" s="8">
        <v>1500</v>
      </c>
      <c r="G25" s="8">
        <v>1500</v>
      </c>
      <c r="H25" s="8">
        <v>1500</v>
      </c>
      <c r="I25" s="8"/>
      <c r="J25" s="8"/>
      <c r="K25" s="8"/>
      <c r="M25" t="s">
        <v>42</v>
      </c>
    </row>
    <row r="26" spans="4:15" x14ac:dyDescent="0.3">
      <c r="D26" s="2" t="s">
        <v>13</v>
      </c>
      <c r="E26" s="8">
        <f>(PI()*POWER(E$24,2)/4)*E$25</f>
        <v>0.11780972450961724</v>
      </c>
      <c r="F26" s="8">
        <f t="shared" ref="F26:H26" si="0">(PI()*POWER(F$24,2)/4)*F$25</f>
        <v>0.11780972450961724</v>
      </c>
      <c r="G26" s="8">
        <f t="shared" si="0"/>
        <v>0.11780972450961724</v>
      </c>
      <c r="H26" s="8">
        <f t="shared" si="0"/>
        <v>0.11780972450961724</v>
      </c>
      <c r="I26" s="8"/>
      <c r="J26" s="8"/>
      <c r="K26" s="8"/>
      <c r="M26" t="s">
        <v>14</v>
      </c>
    </row>
    <row r="27" spans="4:15" x14ac:dyDescent="0.3">
      <c r="D27" s="2" t="s">
        <v>19</v>
      </c>
      <c r="E27" s="8">
        <f>$B$3*(PI()*POWER(E$24,2)/4)*(E$25-$B$2)</f>
        <v>0.36597590918912598</v>
      </c>
      <c r="F27" s="8">
        <f t="shared" ref="F27:H27" si="1">$B$3*(PI()*POWER(F$24,2)/4)*(F$25-$B$2)</f>
        <v>0.36597590918912598</v>
      </c>
      <c r="G27" s="8">
        <f t="shared" si="1"/>
        <v>0.36597590918912598</v>
      </c>
      <c r="H27" s="8">
        <f t="shared" si="1"/>
        <v>0.36597590918912598</v>
      </c>
      <c r="I27" s="8"/>
      <c r="J27" s="8"/>
      <c r="K27" s="8"/>
      <c r="M27" t="s">
        <v>43</v>
      </c>
    </row>
    <row r="28" spans="4:15" x14ac:dyDescent="0.3">
      <c r="D28" s="2" t="s">
        <v>51</v>
      </c>
      <c r="E28" s="8">
        <v>10</v>
      </c>
      <c r="F28" s="8">
        <v>20</v>
      </c>
      <c r="G28" s="8">
        <v>20</v>
      </c>
      <c r="H28" s="8">
        <v>20</v>
      </c>
      <c r="I28" s="8"/>
      <c r="J28" s="8"/>
      <c r="K28" s="8"/>
    </row>
    <row r="29" spans="4:15" x14ac:dyDescent="0.3">
      <c r="D29" s="2" t="s">
        <v>52</v>
      </c>
      <c r="E29" s="8">
        <f>E28*E27</f>
        <v>3.6597590918912597</v>
      </c>
      <c r="F29" s="8">
        <f>F28*F27</f>
        <v>7.3195181837825194</v>
      </c>
      <c r="G29" s="8">
        <f>G28*G27</f>
        <v>7.3195181837825194</v>
      </c>
      <c r="H29" s="8">
        <f>H28*H27</f>
        <v>7.3195181837825194</v>
      </c>
      <c r="I29" s="8"/>
      <c r="J29" s="8"/>
      <c r="K29" s="8"/>
      <c r="M29" t="s">
        <v>22</v>
      </c>
    </row>
  </sheetData>
  <conditionalFormatting sqref="E5:K5">
    <cfRule type="cellIs" dxfId="2" priority="1" operator="equal">
      <formula>$B$2</formula>
    </cfRule>
    <cfRule type="cellIs" dxfId="1" priority="2" operator="greaterThan">
      <formula>$B$2</formula>
    </cfRule>
    <cfRule type="cellIs" dxfId="0" priority="3" operator="lessThan">
      <formula>$B$2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4132-2D6E-4994-BF06-76805783ECA3}">
  <dimension ref="C2:G16"/>
  <sheetViews>
    <sheetView workbookViewId="0">
      <selection activeCell="C17" sqref="C17"/>
    </sheetView>
  </sheetViews>
  <sheetFormatPr baseColWidth="10" defaultRowHeight="14.4" x14ac:dyDescent="0.3"/>
  <sheetData>
    <row r="2" spans="3:7" x14ac:dyDescent="0.3">
      <c r="C2" t="s">
        <v>58</v>
      </c>
      <c r="D2">
        <v>5.6949E-2</v>
      </c>
      <c r="F2">
        <f>SUMPRODUCT(D2:D3,D2:D3)</f>
        <v>0.99999982272999999</v>
      </c>
    </row>
    <row r="3" spans="3:7" x14ac:dyDescent="0.3">
      <c r="C3" t="s">
        <v>59</v>
      </c>
      <c r="D3">
        <v>-0.99837699999999996</v>
      </c>
    </row>
    <row r="5" spans="3:7" x14ac:dyDescent="0.3">
      <c r="C5" t="s">
        <v>56</v>
      </c>
      <c r="D5">
        <f>D2</f>
        <v>5.6949E-2</v>
      </c>
    </row>
    <row r="6" spans="3:7" x14ac:dyDescent="0.3">
      <c r="C6" t="s">
        <v>57</v>
      </c>
      <c r="D6">
        <f>-1*D3</f>
        <v>0.99837699999999996</v>
      </c>
    </row>
    <row r="9" spans="3:7" x14ac:dyDescent="0.3">
      <c r="D9">
        <f>-D2</f>
        <v>-5.6949E-2</v>
      </c>
      <c r="E9">
        <f>D5</f>
        <v>5.6949E-2</v>
      </c>
      <c r="G9">
        <f>D9*E10-D10*E9</f>
        <v>-0.113713143546</v>
      </c>
    </row>
    <row r="10" spans="3:7" x14ac:dyDescent="0.3">
      <c r="D10">
        <f>-D3</f>
        <v>0.99837699999999996</v>
      </c>
      <c r="E10">
        <f>D6</f>
        <v>0.99837699999999996</v>
      </c>
    </row>
    <row r="16" spans="3:7" x14ac:dyDescent="0.3">
      <c r="C16">
        <f>-0.791459 + 1.097011 + 5.969555</f>
        <v>6.2751069999999993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Traînée ROV</vt:lpstr>
      <vt:lpstr>Défaut</vt:lpstr>
      <vt:lpstr>Système linéaire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Delort</dc:creator>
  <cp:lastModifiedBy>Jacques Delort</cp:lastModifiedBy>
  <dcterms:created xsi:type="dcterms:W3CDTF">2026-01-12T12:26:06Z</dcterms:created>
  <dcterms:modified xsi:type="dcterms:W3CDTF">2026-01-29T14:12:45Z</dcterms:modified>
</cp:coreProperties>
</file>