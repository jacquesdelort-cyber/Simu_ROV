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8bbbaa6367577a/Documents/Projet ROV/simulateur_rov/"/>
    </mc:Choice>
  </mc:AlternateContent>
  <xr:revisionPtr revIDLastSave="223" documentId="13_ncr:1_{B2A7D9EE-2791-4AA6-9F58-AE3493008ED9}" xr6:coauthVersionLast="47" xr6:coauthVersionMax="47" xr10:uidLastSave="{8C6DD242-0C2E-470B-B8D6-1FAB9A997769}"/>
  <bookViews>
    <workbookView minimized="1" xWindow="4860" yWindow="-15120" windowWidth="21600" windowHeight="11295" xr2:uid="{DB299C8F-BC93-4B03-82ED-EDC1EFAE3C08}"/>
  </bookViews>
  <sheets>
    <sheet name="Traînée ROV" sheetId="1" r:id="rId1"/>
    <sheet name="Feuil1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28" i="1"/>
  <c r="I5" i="1"/>
  <c r="D11" i="1"/>
  <c r="D25" i="5"/>
  <c r="H11" i="1"/>
  <c r="I7" i="1"/>
  <c r="I4" i="1"/>
  <c r="I11" i="1" s="1"/>
  <c r="D21" i="1"/>
  <c r="D15" i="1"/>
  <c r="D10" i="1"/>
  <c r="D9" i="1"/>
  <c r="D14" i="1"/>
  <c r="H5" i="1" s="1"/>
  <c r="H12" i="1" s="1"/>
  <c r="D22" i="1" a="1"/>
  <c r="D22" i="1" s="1"/>
  <c r="D24" i="1" s="1"/>
  <c r="I8" i="1" l="1"/>
  <c r="I13" i="1" s="1"/>
  <c r="H8" i="1"/>
  <c r="H13" i="1" s="1"/>
  <c r="I12" i="1"/>
  <c r="J4" i="1"/>
  <c r="J11" i="1" s="1"/>
  <c r="J7" i="1"/>
  <c r="J8" i="1" s="1"/>
  <c r="J13" i="1" s="1"/>
  <c r="D17" i="1"/>
  <c r="K4" i="1" l="1"/>
  <c r="K11" i="1" s="1"/>
  <c r="J5" i="1"/>
  <c r="J12" i="1" s="1"/>
  <c r="K7" i="1"/>
  <c r="K8" i="1" s="1"/>
  <c r="K13" i="1" s="1"/>
  <c r="L4" i="1" l="1"/>
  <c r="L11" i="1" s="1"/>
  <c r="K5" i="1"/>
  <c r="K12" i="1" s="1"/>
  <c r="L7" i="1"/>
  <c r="L8" i="1" s="1"/>
  <c r="L13" i="1" s="1"/>
  <c r="M4" i="1" l="1"/>
  <c r="M11" i="1" s="1"/>
  <c r="L5" i="1"/>
  <c r="L12" i="1" s="1"/>
  <c r="M7" i="1"/>
  <c r="M8" i="1" s="1"/>
  <c r="M13" i="1" s="1"/>
  <c r="N4" i="1" l="1"/>
  <c r="N11" i="1" s="1"/>
  <c r="M5" i="1"/>
  <c r="M12" i="1" s="1"/>
  <c r="N7" i="1"/>
  <c r="N8" i="1" s="1"/>
  <c r="N13" i="1" s="1"/>
  <c r="O4" i="1" l="1"/>
  <c r="O11" i="1" s="1"/>
  <c r="N5" i="1"/>
  <c r="N12" i="1" s="1"/>
  <c r="O7" i="1"/>
  <c r="O8" i="1" s="1"/>
  <c r="O13" i="1" s="1"/>
  <c r="P4" i="1" l="1"/>
  <c r="P11" i="1" s="1"/>
  <c r="O5" i="1"/>
  <c r="O12" i="1" s="1"/>
  <c r="P7" i="1"/>
  <c r="P8" i="1" s="1"/>
  <c r="P13" i="1" s="1"/>
  <c r="Q4" i="1" l="1"/>
  <c r="Q11" i="1" s="1"/>
  <c r="P5" i="1"/>
  <c r="P12" i="1" s="1"/>
  <c r="Q7" i="1"/>
  <c r="Q8" i="1" s="1"/>
  <c r="Q13" i="1" s="1"/>
  <c r="R4" i="1" l="1"/>
  <c r="Q5" i="1"/>
  <c r="Q12" i="1" s="1"/>
  <c r="R7" i="1"/>
  <c r="R8" i="1" l="1"/>
  <c r="R13" i="1" s="1"/>
  <c r="S7" i="1"/>
  <c r="R11" i="1"/>
  <c r="S4" i="1"/>
  <c r="R5" i="1"/>
  <c r="R12" i="1" s="1"/>
  <c r="S11" i="1" l="1"/>
  <c r="T4" i="1"/>
  <c r="S5" i="1"/>
  <c r="S12" i="1" s="1"/>
  <c r="S8" i="1"/>
  <c r="S13" i="1" s="1"/>
  <c r="T7" i="1"/>
  <c r="T8" i="1" l="1"/>
  <c r="T13" i="1" s="1"/>
  <c r="U7" i="1"/>
  <c r="U4" i="1"/>
  <c r="T11" i="1"/>
  <c r="T5" i="1"/>
  <c r="T12" i="1" s="1"/>
  <c r="V4" i="1" l="1"/>
  <c r="U11" i="1"/>
  <c r="U5" i="1"/>
  <c r="U12" i="1" s="1"/>
  <c r="V7" i="1"/>
  <c r="U8" i="1"/>
  <c r="U13" i="1" s="1"/>
  <c r="V8" i="1" l="1"/>
  <c r="V13" i="1" s="1"/>
  <c r="W7" i="1"/>
  <c r="W4" i="1"/>
  <c r="V11" i="1"/>
  <c r="V5" i="1"/>
  <c r="V12" i="1" s="1"/>
  <c r="W5" i="1" l="1"/>
  <c r="W12" i="1" s="1"/>
  <c r="X4" i="1"/>
  <c r="W11" i="1"/>
  <c r="X7" i="1"/>
  <c r="W8" i="1"/>
  <c r="W13" i="1" s="1"/>
  <c r="Y7" i="1" l="1"/>
  <c r="X8" i="1"/>
  <c r="X13" i="1" s="1"/>
  <c r="X11" i="1"/>
  <c r="Y4" i="1"/>
  <c r="X5" i="1"/>
  <c r="X12" i="1" s="1"/>
  <c r="Z4" i="1" l="1"/>
  <c r="Y11" i="1"/>
  <c r="Y5" i="1"/>
  <c r="Y12" i="1" s="1"/>
  <c r="Z7" i="1"/>
  <c r="Y8" i="1"/>
  <c r="Y13" i="1" s="1"/>
  <c r="AA7" i="1" l="1"/>
  <c r="Z8" i="1"/>
  <c r="Z13" i="1" s="1"/>
  <c r="Z11" i="1"/>
  <c r="AA4" i="1"/>
  <c r="Z5" i="1"/>
  <c r="Z12" i="1" s="1"/>
  <c r="AA11" i="1" l="1"/>
  <c r="AB4" i="1"/>
  <c r="AA5" i="1"/>
  <c r="AA12" i="1" s="1"/>
  <c r="AA8" i="1"/>
  <c r="AA13" i="1" s="1"/>
  <c r="AB7" i="1"/>
  <c r="AB8" i="1" s="1"/>
  <c r="AB13" i="1" s="1"/>
  <c r="AB11" i="1" l="1"/>
  <c r="AB5" i="1"/>
  <c r="AB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<sst xmlns="http://schemas.openxmlformats.org/spreadsheetml/2006/main" count="49" uniqueCount="34">
  <si>
    <t>Cy</t>
  </si>
  <si>
    <t>Vol</t>
  </si>
  <si>
    <t>g</t>
  </si>
  <si>
    <t xml:space="preserve">Rho </t>
  </si>
  <si>
    <t>Archimède</t>
  </si>
  <si>
    <t>Poids</t>
  </si>
  <si>
    <t>Poids linéique</t>
  </si>
  <si>
    <t>N / m</t>
  </si>
  <si>
    <t>m</t>
  </si>
  <si>
    <t>Diamètre câble</t>
  </si>
  <si>
    <t>Poids apparent linéique</t>
  </si>
  <si>
    <t>N</t>
  </si>
  <si>
    <t>Masse</t>
  </si>
  <si>
    <t>Cx</t>
  </si>
  <si>
    <t>Poids apparent</t>
  </si>
  <si>
    <t>Masse volumique</t>
  </si>
  <si>
    <t>m/s</t>
  </si>
  <si>
    <t>kg</t>
  </si>
  <si>
    <t>m3</t>
  </si>
  <si>
    <t>kg / m3</t>
  </si>
  <si>
    <t>Longueur</t>
  </si>
  <si>
    <t>Largeur</t>
  </si>
  <si>
    <t>Hauteur</t>
  </si>
  <si>
    <t>Vx</t>
  </si>
  <si>
    <t>Vy</t>
  </si>
  <si>
    <t>Vitesse de chûte</t>
  </si>
  <si>
    <t>Surface y</t>
  </si>
  <si>
    <t>Surface x</t>
  </si>
  <si>
    <t>m2</t>
  </si>
  <si>
    <t>m / sec2</t>
  </si>
  <si>
    <t>Poids apparent 100 m</t>
  </si>
  <si>
    <t>Traînée x</t>
  </si>
  <si>
    <t>Traînée y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</si>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</sst>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  <numFmt numFmtId="166" formatCode="_-* #,##0.0000_-;\-* #,##0.0000_-;_-* &quot;-&quot;??_-;_-@_-"/>
    <numFmt numFmtId="167" formatCode="_-* #,##0.000_-;\-* #,##0.0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right"/>
    </xf>
    <xf numFmtId="43" fontId="0" fillId="0" borderId="0" xfId="1" applyFont="1"/>
    <xf numFmtId="166" fontId="0" fillId="0" borderId="0" xfId="1" applyNumberFormat="1" applyFont="1"/>
    <xf numFmtId="167" fontId="0" fillId="0" borderId="0" xfId="1" applyNumberFormat="1" applyFont="1"/>
    <xf numFmtId="167" fontId="2" fillId="0" borderId="0" xfId="1" applyNumberFormat="1" applyFont="1"/>
    <xf numFmtId="165" fontId="3" fillId="0" borderId="0" xfId="0" applyNumberFormat="1" applyFont="1"/>
    <xf numFmtId="0" fontId="0" fillId="2" borderId="0" xfId="0" applyFill="1" applyAlignment="1">
      <alignment horizontal="right"/>
    </xf>
    <xf numFmtId="167" fontId="0" fillId="2" borderId="0" xfId="1" applyNumberFormat="1" applyFont="1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'Traînée ROV'!$G$12</c:f>
              <c:strCache>
                <c:ptCount val="1"/>
                <c:pt idx="0">
                  <c:v>Traînée 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ROV'!$H$12:$AB$12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0.74160000000000026</c:v>
                </c:pt>
                <c:pt idx="2">
                  <c:v>2.966400000000001</c:v>
                </c:pt>
                <c:pt idx="3">
                  <c:v>6.6744000000000048</c:v>
                </c:pt>
                <c:pt idx="4">
                  <c:v>11.865600000000004</c:v>
                </c:pt>
                <c:pt idx="5">
                  <c:v>18.540000000000006</c:v>
                </c:pt>
                <c:pt idx="6">
                  <c:v>26.697600000000005</c:v>
                </c:pt>
                <c:pt idx="7">
                  <c:v>36.338400000000007</c:v>
                </c:pt>
                <c:pt idx="8">
                  <c:v>47.462400000000002</c:v>
                </c:pt>
                <c:pt idx="9">
                  <c:v>60.069600000000001</c:v>
                </c:pt>
                <c:pt idx="10">
                  <c:v>74.16</c:v>
                </c:pt>
                <c:pt idx="11">
                  <c:v>89.733600000000024</c:v>
                </c:pt>
                <c:pt idx="12">
                  <c:v>106.79040000000002</c:v>
                </c:pt>
                <c:pt idx="13">
                  <c:v>125.33040000000004</c:v>
                </c:pt>
                <c:pt idx="14">
                  <c:v>145.35360000000009</c:v>
                </c:pt>
                <c:pt idx="15">
                  <c:v>166.86000000000013</c:v>
                </c:pt>
                <c:pt idx="16">
                  <c:v>189.84960000000012</c:v>
                </c:pt>
                <c:pt idx="17">
                  <c:v>214.32240000000016</c:v>
                </c:pt>
                <c:pt idx="18">
                  <c:v>240.2784000000002</c:v>
                </c:pt>
                <c:pt idx="19">
                  <c:v>267.71760000000029</c:v>
                </c:pt>
                <c:pt idx="20">
                  <c:v>296.64000000000021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5C-4C21-BB1B-360534AC7D58}"/>
            </c:ext>
          </c:extLst>
        </c:ser>
        <c:ser>
          <c:idx val="1"/>
          <c:order val="1"/>
          <c:tx>
            <c:strRef>
              <c:f>'Traînée ROV'!$G$13</c:f>
              <c:strCache>
                <c:ptCount val="1"/>
                <c:pt idx="0">
                  <c:v>Traînée 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ROV'!$H$13:$AB$13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1.2978000000000001</c:v>
                </c:pt>
                <c:pt idx="2">
                  <c:v>5.1912000000000003</c:v>
                </c:pt>
                <c:pt idx="3">
                  <c:v>11.680200000000005</c:v>
                </c:pt>
                <c:pt idx="4">
                  <c:v>20.764800000000001</c:v>
                </c:pt>
                <c:pt idx="5">
                  <c:v>32.445</c:v>
                </c:pt>
                <c:pt idx="6">
                  <c:v>46.720799999999997</c:v>
                </c:pt>
                <c:pt idx="7">
                  <c:v>63.592199999999998</c:v>
                </c:pt>
                <c:pt idx="8">
                  <c:v>83.05919999999999</c:v>
                </c:pt>
                <c:pt idx="9">
                  <c:v>105.12179999999998</c:v>
                </c:pt>
                <c:pt idx="10">
                  <c:v>129.77999999999994</c:v>
                </c:pt>
                <c:pt idx="11">
                  <c:v>157.03379999999996</c:v>
                </c:pt>
                <c:pt idx="12">
                  <c:v>186.88319999999999</c:v>
                </c:pt>
                <c:pt idx="13">
                  <c:v>219.32820000000001</c:v>
                </c:pt>
                <c:pt idx="14">
                  <c:v>254.36880000000008</c:v>
                </c:pt>
                <c:pt idx="15">
                  <c:v>292.00500000000011</c:v>
                </c:pt>
                <c:pt idx="16">
                  <c:v>332.23680000000013</c:v>
                </c:pt>
                <c:pt idx="17">
                  <c:v>375.0642000000002</c:v>
                </c:pt>
                <c:pt idx="18">
                  <c:v>420.4872000000002</c:v>
                </c:pt>
                <c:pt idx="19">
                  <c:v>468.50580000000031</c:v>
                </c:pt>
                <c:pt idx="20">
                  <c:v>519.12000000000023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5C-4C21-BB1B-360534AC7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927648"/>
        <c:axId val="1081928608"/>
      </c:lineChart>
      <c:catAx>
        <c:axId val="108192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8608"/>
        <c:crosses val="autoZero"/>
        <c:auto val="1"/>
        <c:lblAlgn val="ctr"/>
        <c:lblOffset val="100"/>
        <c:noMultiLvlLbl val="0"/>
      </c:catAx>
      <c:valAx>
        <c:axId val="108192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_€_-;\-* #\ ##0.0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282015</xdr:colOff>
      <xdr:row>15</xdr:row>
      <xdr:rowOff>15126</xdr:rowOff>
    </xdr:from>
    <xdr:to>
      <xdr:col>27</xdr:col>
      <xdr:colOff>550956</xdr:colOff>
      <xdr:row>34</xdr:row>
      <xdr:rowOff>37353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9572865-873D-EBB2-E307-3229D79AD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64BA-B9B5-4F28-AD0C-D9CA645A41BB}">
  <sheetPr codeName="Feuil1"/>
  <dimension ref="C1:AB31"/>
  <sheetViews>
    <sheetView tabSelected="1" topLeftCell="C1" zoomScale="102" workbookViewId="0">
      <selection activeCell="D31" sqref="D31"/>
    </sheetView>
  </sheetViews>
  <sheetFormatPr baseColWidth="10" defaultRowHeight="15" x14ac:dyDescent="0.25"/>
  <cols>
    <col min="3" max="3" width="19.28515625" customWidth="1"/>
    <col min="4" max="4" width="12" bestFit="1" customWidth="1"/>
    <col min="8" max="28" width="8.7109375" customWidth="1"/>
  </cols>
  <sheetData>
    <row r="1" spans="3:28" x14ac:dyDescent="0.25">
      <c r="C1" s="2" t="s">
        <v>2</v>
      </c>
      <c r="D1" s="3">
        <v>9.81</v>
      </c>
      <c r="E1" t="s">
        <v>29</v>
      </c>
    </row>
    <row r="2" spans="3:28" x14ac:dyDescent="0.25">
      <c r="C2" s="2" t="s">
        <v>3</v>
      </c>
      <c r="D2" s="3">
        <v>1030</v>
      </c>
      <c r="E2" t="s">
        <v>19</v>
      </c>
    </row>
    <row r="3" spans="3:28" x14ac:dyDescent="0.25">
      <c r="C3" s="2"/>
      <c r="D3" s="3"/>
    </row>
    <row r="4" spans="3:28" x14ac:dyDescent="0.25">
      <c r="C4" s="2" t="s">
        <v>21</v>
      </c>
      <c r="D4" s="5">
        <v>0.4</v>
      </c>
      <c r="E4" t="s">
        <v>8</v>
      </c>
      <c r="G4" t="s">
        <v>23</v>
      </c>
      <c r="H4">
        <v>0</v>
      </c>
      <c r="I4">
        <f>H4+0.1</f>
        <v>0.1</v>
      </c>
      <c r="J4">
        <f t="shared" ref="J4:Q4" si="0">I4+0.1</f>
        <v>0.2</v>
      </c>
      <c r="K4">
        <f t="shared" si="0"/>
        <v>0.30000000000000004</v>
      </c>
      <c r="L4">
        <f t="shared" si="0"/>
        <v>0.4</v>
      </c>
      <c r="M4">
        <f t="shared" si="0"/>
        <v>0.5</v>
      </c>
      <c r="N4">
        <f t="shared" si="0"/>
        <v>0.6</v>
      </c>
      <c r="O4">
        <f t="shared" si="0"/>
        <v>0.7</v>
      </c>
      <c r="P4">
        <f t="shared" si="0"/>
        <v>0.79999999999999993</v>
      </c>
      <c r="Q4">
        <f t="shared" si="0"/>
        <v>0.89999999999999991</v>
      </c>
      <c r="R4">
        <f t="shared" ref="R4:X4" si="1">Q4+0.1</f>
        <v>0.99999999999999989</v>
      </c>
      <c r="S4">
        <f t="shared" si="1"/>
        <v>1.0999999999999999</v>
      </c>
      <c r="T4">
        <f t="shared" si="1"/>
        <v>1.2</v>
      </c>
      <c r="U4">
        <f t="shared" si="1"/>
        <v>1.3</v>
      </c>
      <c r="V4">
        <f t="shared" si="1"/>
        <v>1.4000000000000001</v>
      </c>
      <c r="W4">
        <f t="shared" si="1"/>
        <v>1.5000000000000002</v>
      </c>
      <c r="X4">
        <f t="shared" si="1"/>
        <v>1.6000000000000003</v>
      </c>
      <c r="Y4">
        <f t="shared" ref="Y4:AB4" si="2">X4+0.1</f>
        <v>1.7000000000000004</v>
      </c>
      <c r="Z4">
        <f t="shared" si="2"/>
        <v>1.8000000000000005</v>
      </c>
      <c r="AA4">
        <f t="shared" si="2"/>
        <v>1.9000000000000006</v>
      </c>
      <c r="AB4">
        <f t="shared" si="2"/>
        <v>2.0000000000000004</v>
      </c>
    </row>
    <row r="5" spans="3:28" x14ac:dyDescent="0.25">
      <c r="C5" s="2" t="s">
        <v>20</v>
      </c>
      <c r="D5" s="5">
        <v>0.7</v>
      </c>
      <c r="E5" t="s">
        <v>8</v>
      </c>
      <c r="G5" t="s">
        <v>31</v>
      </c>
      <c r="H5" s="7">
        <f>0.5*$D$12*$D$14*H4*H4*$D$2</f>
        <v>0</v>
      </c>
      <c r="I5" s="7">
        <f>0.5*$D$12*$D$14*I4*I4*$D$2</f>
        <v>0.74160000000000026</v>
      </c>
      <c r="J5" s="7">
        <f t="shared" ref="J5:AB5" si="3">0.5*$D$12*$D$14*J4*J4*$D$2</f>
        <v>2.966400000000001</v>
      </c>
      <c r="K5" s="7">
        <f t="shared" si="3"/>
        <v>6.6744000000000048</v>
      </c>
      <c r="L5" s="7">
        <f t="shared" si="3"/>
        <v>11.865600000000004</v>
      </c>
      <c r="M5" s="7">
        <f t="shared" si="3"/>
        <v>18.540000000000006</v>
      </c>
      <c r="N5" s="7">
        <f t="shared" si="3"/>
        <v>26.697600000000005</v>
      </c>
      <c r="O5" s="7">
        <f t="shared" si="3"/>
        <v>36.338400000000007</v>
      </c>
      <c r="P5" s="7">
        <f t="shared" si="3"/>
        <v>47.462400000000002</v>
      </c>
      <c r="Q5" s="7">
        <f t="shared" si="3"/>
        <v>60.069600000000001</v>
      </c>
      <c r="R5" s="7">
        <f t="shared" si="3"/>
        <v>74.16</v>
      </c>
      <c r="S5" s="7">
        <f t="shared" si="3"/>
        <v>89.733600000000024</v>
      </c>
      <c r="T5" s="7">
        <f t="shared" si="3"/>
        <v>106.79040000000002</v>
      </c>
      <c r="U5" s="7">
        <f t="shared" si="3"/>
        <v>125.33040000000004</v>
      </c>
      <c r="V5" s="7">
        <f t="shared" si="3"/>
        <v>145.35360000000009</v>
      </c>
      <c r="W5" s="7">
        <f t="shared" si="3"/>
        <v>166.86000000000013</v>
      </c>
      <c r="X5" s="7">
        <f t="shared" si="3"/>
        <v>189.84960000000012</v>
      </c>
      <c r="Y5" s="7">
        <f t="shared" si="3"/>
        <v>214.32240000000016</v>
      </c>
      <c r="Z5" s="7">
        <f t="shared" si="3"/>
        <v>240.2784000000002</v>
      </c>
      <c r="AA5" s="7">
        <f t="shared" si="3"/>
        <v>267.71760000000029</v>
      </c>
      <c r="AB5" s="7">
        <f t="shared" si="3"/>
        <v>296.64000000000021</v>
      </c>
    </row>
    <row r="6" spans="3:28" x14ac:dyDescent="0.25">
      <c r="C6" s="2" t="s">
        <v>22</v>
      </c>
      <c r="D6" s="5">
        <v>0.4</v>
      </c>
      <c r="E6" t="s">
        <v>8</v>
      </c>
    </row>
    <row r="7" spans="3:28" x14ac:dyDescent="0.25">
      <c r="C7" s="2" t="s">
        <v>12</v>
      </c>
      <c r="D7" s="5">
        <v>30</v>
      </c>
      <c r="E7" t="s">
        <v>17</v>
      </c>
      <c r="F7" s="1"/>
      <c r="G7" t="s">
        <v>24</v>
      </c>
      <c r="H7">
        <v>0</v>
      </c>
      <c r="I7">
        <f>H7+0.1</f>
        <v>0.1</v>
      </c>
      <c r="J7">
        <f t="shared" ref="J7:AB7" si="4">I7+0.1</f>
        <v>0.2</v>
      </c>
      <c r="K7">
        <f t="shared" si="4"/>
        <v>0.30000000000000004</v>
      </c>
      <c r="L7">
        <f t="shared" si="4"/>
        <v>0.4</v>
      </c>
      <c r="M7">
        <f t="shared" si="4"/>
        <v>0.5</v>
      </c>
      <c r="N7">
        <f t="shared" si="4"/>
        <v>0.6</v>
      </c>
      <c r="O7">
        <f t="shared" si="4"/>
        <v>0.7</v>
      </c>
      <c r="P7">
        <f t="shared" si="4"/>
        <v>0.79999999999999993</v>
      </c>
      <c r="Q7">
        <f t="shared" si="4"/>
        <v>0.89999999999999991</v>
      </c>
      <c r="R7">
        <f t="shared" si="4"/>
        <v>0.99999999999999989</v>
      </c>
      <c r="S7">
        <f t="shared" si="4"/>
        <v>1.0999999999999999</v>
      </c>
      <c r="T7">
        <f t="shared" si="4"/>
        <v>1.2</v>
      </c>
      <c r="U7">
        <f t="shared" si="4"/>
        <v>1.3</v>
      </c>
      <c r="V7">
        <f t="shared" si="4"/>
        <v>1.4000000000000001</v>
      </c>
      <c r="W7">
        <f t="shared" si="4"/>
        <v>1.5000000000000002</v>
      </c>
      <c r="X7">
        <f t="shared" si="4"/>
        <v>1.6000000000000003</v>
      </c>
      <c r="Y7">
        <f t="shared" si="4"/>
        <v>1.7000000000000004</v>
      </c>
      <c r="Z7">
        <f t="shared" si="4"/>
        <v>1.8000000000000005</v>
      </c>
      <c r="AA7">
        <f t="shared" si="4"/>
        <v>1.9000000000000006</v>
      </c>
      <c r="AB7">
        <f t="shared" si="4"/>
        <v>2.0000000000000004</v>
      </c>
    </row>
    <row r="8" spans="3:28" x14ac:dyDescent="0.25">
      <c r="C8" s="2" t="s">
        <v>1</v>
      </c>
      <c r="D8" s="5">
        <v>0.03</v>
      </c>
      <c r="E8" t="s">
        <v>18</v>
      </c>
      <c r="G8" t="s">
        <v>32</v>
      </c>
      <c r="H8" s="7">
        <f>0.5*$D$13*$D$15*H7*H7*$D$2</f>
        <v>0</v>
      </c>
      <c r="I8" s="7">
        <f>0.5*$D$13*$D$15*I7*I7*$D$2</f>
        <v>1.2978000000000001</v>
      </c>
      <c r="J8" s="7">
        <f t="shared" ref="J8:AB8" si="5">0.5*$D$13*$D$15*J7*J7*$D$2</f>
        <v>5.1912000000000003</v>
      </c>
      <c r="K8" s="7">
        <f t="shared" si="5"/>
        <v>11.680200000000005</v>
      </c>
      <c r="L8" s="7">
        <f t="shared" si="5"/>
        <v>20.764800000000001</v>
      </c>
      <c r="M8" s="7">
        <f t="shared" si="5"/>
        <v>32.445</v>
      </c>
      <c r="N8" s="7">
        <f t="shared" si="5"/>
        <v>46.720799999999997</v>
      </c>
      <c r="O8" s="7">
        <f t="shared" si="5"/>
        <v>63.592199999999998</v>
      </c>
      <c r="P8" s="7">
        <f t="shared" si="5"/>
        <v>83.05919999999999</v>
      </c>
      <c r="Q8" s="7">
        <f t="shared" si="5"/>
        <v>105.12179999999998</v>
      </c>
      <c r="R8" s="7">
        <f t="shared" si="5"/>
        <v>129.77999999999994</v>
      </c>
      <c r="S8" s="7">
        <f t="shared" si="5"/>
        <v>157.03379999999996</v>
      </c>
      <c r="T8" s="7">
        <f t="shared" si="5"/>
        <v>186.88319999999999</v>
      </c>
      <c r="U8" s="7">
        <f t="shared" si="5"/>
        <v>219.32820000000001</v>
      </c>
      <c r="V8" s="7">
        <f t="shared" si="5"/>
        <v>254.36880000000008</v>
      </c>
      <c r="W8" s="7">
        <f t="shared" si="5"/>
        <v>292.00500000000011</v>
      </c>
      <c r="X8" s="7">
        <f t="shared" si="5"/>
        <v>332.23680000000013</v>
      </c>
      <c r="Y8" s="7">
        <f t="shared" si="5"/>
        <v>375.0642000000002</v>
      </c>
      <c r="Z8" s="7">
        <f t="shared" si="5"/>
        <v>420.4872000000002</v>
      </c>
      <c r="AA8" s="7">
        <f t="shared" si="5"/>
        <v>468.50580000000031</v>
      </c>
      <c r="AB8" s="7">
        <f t="shared" si="5"/>
        <v>519.12000000000023</v>
      </c>
    </row>
    <row r="9" spans="3:28" x14ac:dyDescent="0.25">
      <c r="C9" s="2" t="s">
        <v>5</v>
      </c>
      <c r="D9" s="5">
        <f>-1*D7*D1</f>
        <v>-294.3</v>
      </c>
      <c r="E9" t="s">
        <v>11</v>
      </c>
    </row>
    <row r="10" spans="3:28" x14ac:dyDescent="0.25">
      <c r="C10" s="2" t="s">
        <v>4</v>
      </c>
      <c r="D10" s="5">
        <f>D8*D1*D2</f>
        <v>303.12900000000002</v>
      </c>
      <c r="E10" t="s">
        <v>11</v>
      </c>
    </row>
    <row r="11" spans="3:28" x14ac:dyDescent="0.25">
      <c r="C11" s="8" t="s">
        <v>14</v>
      </c>
      <c r="D11" s="9">
        <f>D10+D9</f>
        <v>8.8290000000000077</v>
      </c>
      <c r="E11" t="s">
        <v>11</v>
      </c>
      <c r="G11" t="s">
        <v>33</v>
      </c>
      <c r="H11">
        <f>H4</f>
        <v>0</v>
      </c>
      <c r="I11">
        <f t="shared" ref="I11:AB11" si="6">I4</f>
        <v>0.1</v>
      </c>
      <c r="J11">
        <f t="shared" si="6"/>
        <v>0.2</v>
      </c>
      <c r="K11">
        <f t="shared" si="6"/>
        <v>0.30000000000000004</v>
      </c>
      <c r="L11">
        <f t="shared" si="6"/>
        <v>0.4</v>
      </c>
      <c r="M11">
        <f t="shared" si="6"/>
        <v>0.5</v>
      </c>
      <c r="N11">
        <f t="shared" si="6"/>
        <v>0.6</v>
      </c>
      <c r="O11">
        <f t="shared" si="6"/>
        <v>0.7</v>
      </c>
      <c r="P11">
        <f t="shared" si="6"/>
        <v>0.79999999999999993</v>
      </c>
      <c r="Q11">
        <f t="shared" si="6"/>
        <v>0.89999999999999991</v>
      </c>
      <c r="R11">
        <f t="shared" si="6"/>
        <v>0.99999999999999989</v>
      </c>
      <c r="S11">
        <f t="shared" si="6"/>
        <v>1.0999999999999999</v>
      </c>
      <c r="T11">
        <f t="shared" si="6"/>
        <v>1.2</v>
      </c>
      <c r="U11">
        <f t="shared" si="6"/>
        <v>1.3</v>
      </c>
      <c r="V11">
        <f t="shared" si="6"/>
        <v>1.4000000000000001</v>
      </c>
      <c r="W11">
        <f t="shared" si="6"/>
        <v>1.5000000000000002</v>
      </c>
      <c r="X11">
        <f t="shared" si="6"/>
        <v>1.6000000000000003</v>
      </c>
      <c r="Y11">
        <f t="shared" si="6"/>
        <v>1.7000000000000004</v>
      </c>
      <c r="Z11">
        <f t="shared" si="6"/>
        <v>1.8000000000000005</v>
      </c>
      <c r="AA11">
        <f t="shared" si="6"/>
        <v>1.9000000000000006</v>
      </c>
      <c r="AB11">
        <f t="shared" si="6"/>
        <v>2.0000000000000004</v>
      </c>
    </row>
    <row r="12" spans="3:28" x14ac:dyDescent="0.25">
      <c r="C12" s="2" t="s">
        <v>13</v>
      </c>
      <c r="D12" s="5">
        <v>0.9</v>
      </c>
      <c r="G12" t="s">
        <v>31</v>
      </c>
      <c r="H12" s="7">
        <f>H5</f>
        <v>0</v>
      </c>
      <c r="I12" s="7">
        <f t="shared" ref="I12:AB12" si="7">I5</f>
        <v>0.74160000000000026</v>
      </c>
      <c r="J12" s="7">
        <f t="shared" si="7"/>
        <v>2.966400000000001</v>
      </c>
      <c r="K12" s="7">
        <f t="shared" si="7"/>
        <v>6.6744000000000048</v>
      </c>
      <c r="L12" s="7">
        <f t="shared" si="7"/>
        <v>11.865600000000004</v>
      </c>
      <c r="M12" s="7">
        <f t="shared" si="7"/>
        <v>18.540000000000006</v>
      </c>
      <c r="N12" s="7">
        <f t="shared" si="7"/>
        <v>26.697600000000005</v>
      </c>
      <c r="O12" s="7">
        <f t="shared" si="7"/>
        <v>36.338400000000007</v>
      </c>
      <c r="P12" s="7">
        <f t="shared" si="7"/>
        <v>47.462400000000002</v>
      </c>
      <c r="Q12" s="7">
        <f t="shared" si="7"/>
        <v>60.069600000000001</v>
      </c>
      <c r="R12" s="7">
        <f t="shared" si="7"/>
        <v>74.16</v>
      </c>
      <c r="S12" s="7">
        <f t="shared" si="7"/>
        <v>89.733600000000024</v>
      </c>
      <c r="T12" s="7">
        <f t="shared" si="7"/>
        <v>106.79040000000002</v>
      </c>
      <c r="U12" s="7">
        <f t="shared" si="7"/>
        <v>125.33040000000004</v>
      </c>
      <c r="V12" s="7">
        <f t="shared" si="7"/>
        <v>145.35360000000009</v>
      </c>
      <c r="W12" s="7">
        <f t="shared" si="7"/>
        <v>166.86000000000013</v>
      </c>
      <c r="X12" s="7">
        <f t="shared" si="7"/>
        <v>189.84960000000012</v>
      </c>
      <c r="Y12" s="7">
        <f t="shared" si="7"/>
        <v>214.32240000000016</v>
      </c>
      <c r="Z12" s="7">
        <f t="shared" si="7"/>
        <v>240.2784000000002</v>
      </c>
      <c r="AA12" s="7">
        <f t="shared" si="7"/>
        <v>267.71760000000029</v>
      </c>
      <c r="AB12" s="7">
        <f t="shared" si="7"/>
        <v>296.64000000000021</v>
      </c>
    </row>
    <row r="13" spans="3:28" x14ac:dyDescent="0.25">
      <c r="C13" s="2" t="s">
        <v>0</v>
      </c>
      <c r="D13" s="5">
        <v>0.9</v>
      </c>
      <c r="E13" s="1"/>
      <c r="G13" t="s">
        <v>32</v>
      </c>
      <c r="H13" s="7">
        <f>H8</f>
        <v>0</v>
      </c>
      <c r="I13" s="7">
        <f t="shared" ref="I13:AB13" si="8">I8</f>
        <v>1.2978000000000001</v>
      </c>
      <c r="J13" s="7">
        <f t="shared" si="8"/>
        <v>5.1912000000000003</v>
      </c>
      <c r="K13" s="7">
        <f t="shared" si="8"/>
        <v>11.680200000000005</v>
      </c>
      <c r="L13" s="7">
        <f t="shared" si="8"/>
        <v>20.764800000000001</v>
      </c>
      <c r="M13" s="7">
        <f t="shared" si="8"/>
        <v>32.445</v>
      </c>
      <c r="N13" s="7">
        <f t="shared" si="8"/>
        <v>46.720799999999997</v>
      </c>
      <c r="O13" s="7">
        <f t="shared" si="8"/>
        <v>63.592199999999998</v>
      </c>
      <c r="P13" s="7">
        <f t="shared" si="8"/>
        <v>83.05919999999999</v>
      </c>
      <c r="Q13" s="7">
        <f t="shared" si="8"/>
        <v>105.12179999999998</v>
      </c>
      <c r="R13" s="7">
        <f t="shared" si="8"/>
        <v>129.77999999999994</v>
      </c>
      <c r="S13" s="7">
        <f t="shared" si="8"/>
        <v>157.03379999999996</v>
      </c>
      <c r="T13" s="7">
        <f t="shared" si="8"/>
        <v>186.88319999999999</v>
      </c>
      <c r="U13" s="7">
        <f t="shared" si="8"/>
        <v>219.32820000000001</v>
      </c>
      <c r="V13" s="7">
        <f t="shared" si="8"/>
        <v>254.36880000000008</v>
      </c>
      <c r="W13" s="7">
        <f t="shared" si="8"/>
        <v>292.00500000000011</v>
      </c>
      <c r="X13" s="7">
        <f t="shared" si="8"/>
        <v>332.23680000000013</v>
      </c>
      <c r="Y13" s="7">
        <f t="shared" si="8"/>
        <v>375.0642000000002</v>
      </c>
      <c r="Z13" s="7">
        <f t="shared" si="8"/>
        <v>420.4872000000002</v>
      </c>
      <c r="AA13" s="7">
        <f t="shared" si="8"/>
        <v>468.50580000000031</v>
      </c>
      <c r="AB13" s="7">
        <f t="shared" si="8"/>
        <v>519.12000000000023</v>
      </c>
    </row>
    <row r="14" spans="3:28" x14ac:dyDescent="0.25">
      <c r="C14" s="2" t="s">
        <v>27</v>
      </c>
      <c r="D14" s="5">
        <f>D4*D6</f>
        <v>0.16000000000000003</v>
      </c>
      <c r="E14" s="1" t="s">
        <v>28</v>
      </c>
    </row>
    <row r="15" spans="3:28" x14ac:dyDescent="0.25">
      <c r="C15" s="2" t="s">
        <v>26</v>
      </c>
      <c r="D15" s="5">
        <f>D4*D5</f>
        <v>0.27999999999999997</v>
      </c>
      <c r="E15" s="1" t="s">
        <v>28</v>
      </c>
    </row>
    <row r="16" spans="3:28" x14ac:dyDescent="0.25">
      <c r="C16" s="2"/>
      <c r="E16" s="1"/>
    </row>
    <row r="17" spans="3:5" x14ac:dyDescent="0.25">
      <c r="C17" t="s">
        <v>25</v>
      </c>
      <c r="D17" s="6">
        <f>SQRT(ABS(2*D11/(D2*D13*D15)))</f>
        <v>0.26082659599079294</v>
      </c>
      <c r="E17" t="s">
        <v>16</v>
      </c>
    </row>
    <row r="19" spans="3:5" x14ac:dyDescent="0.25">
      <c r="C19" s="2" t="s">
        <v>9</v>
      </c>
      <c r="D19" s="4">
        <v>1E-3</v>
      </c>
      <c r="E19" t="s">
        <v>8</v>
      </c>
    </row>
    <row r="20" spans="3:5" x14ac:dyDescent="0.25">
      <c r="C20" s="2" t="s">
        <v>15</v>
      </c>
      <c r="D20" s="3">
        <v>1500</v>
      </c>
      <c r="E20" t="s">
        <v>19</v>
      </c>
    </row>
    <row r="21" spans="3:5" x14ac:dyDescent="0.25">
      <c r="C21" s="2" t="s">
        <v>6</v>
      </c>
      <c r="D21" s="4">
        <f>D20*PI()*POWER(D19,2)/4</f>
        <v>1.1780972450961724E-3</v>
      </c>
      <c r="E21" t="s">
        <v>7</v>
      </c>
    </row>
    <row r="22" spans="3:5" x14ac:dyDescent="0.25">
      <c r="C22" s="2" t="s">
        <v>10</v>
      </c>
      <c r="D22" s="4" cm="1">
        <f t="array" ref="D22">(D20-D2)*PI()*POWER(D19:D19,2)/4</f>
        <v>3.6913713679680068E-4</v>
      </c>
      <c r="E22" t="s">
        <v>19</v>
      </c>
    </row>
    <row r="24" spans="3:5" x14ac:dyDescent="0.25">
      <c r="C24" s="2" t="s">
        <v>30</v>
      </c>
      <c r="D24" s="4">
        <f>100*D22</f>
        <v>3.691371367968007E-2</v>
      </c>
      <c r="E24" t="s">
        <v>11</v>
      </c>
    </row>
    <row r="27" spans="3:5" x14ac:dyDescent="0.25">
      <c r="C27" t="s">
        <v>23</v>
      </c>
      <c r="D27">
        <v>0.13</v>
      </c>
    </row>
    <row r="28" spans="3:5" x14ac:dyDescent="0.25">
      <c r="C28" t="s">
        <v>31</v>
      </c>
      <c r="D28" s="7">
        <f>0.5*$D$12*$D$14*D27*D27*$D$2</f>
        <v>1.2533040000000006</v>
      </c>
    </row>
    <row r="30" spans="3:5" x14ac:dyDescent="0.25">
      <c r="C30" t="s">
        <v>24</v>
      </c>
      <c r="D30">
        <v>0.98</v>
      </c>
    </row>
    <row r="31" spans="3:5" x14ac:dyDescent="0.25">
      <c r="C31" t="s">
        <v>32</v>
      </c>
      <c r="D31" s="7">
        <f>0.5*$D$13*$D$15*D30*D30*$D$2</f>
        <v>124.64071199999999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EC3C-F57F-4626-8718-178BD2240E14}">
  <sheetPr codeName="Feuil4"/>
  <dimension ref="D25"/>
  <sheetViews>
    <sheetView workbookViewId="0">
      <selection activeCell="F29" sqref="F29"/>
    </sheetView>
  </sheetViews>
  <sheetFormatPr baseColWidth="10" defaultRowHeight="15" x14ac:dyDescent="0.25"/>
  <sheetData>
    <row r="25" spans="4:4" x14ac:dyDescent="0.25">
      <c r="D25">
        <f>SQRT(104)</f>
        <v>10.198039027185569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Traînée ROV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Delort</dc:creator>
  <cp:lastModifiedBy>Jacques Delort</cp:lastModifiedBy>
  <dcterms:created xsi:type="dcterms:W3CDTF">2026-01-12T12:26:06Z</dcterms:created>
  <dcterms:modified xsi:type="dcterms:W3CDTF">2026-02-05T12:59:40Z</dcterms:modified>
</cp:coreProperties>
</file>