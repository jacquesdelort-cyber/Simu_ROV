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8bbbaa6367577a/Documents/Projet ROV/simulateur_rov/"/>
    </mc:Choice>
  </mc:AlternateContent>
  <xr:revisionPtr revIDLastSave="599" documentId="13_ncr:1_{B2A7D9EE-2791-4AA6-9F58-AE3493008ED9}" xr6:coauthVersionLast="47" xr6:coauthVersionMax="47" xr10:uidLastSave="{9A25D67A-FF6C-4146-ABCF-196779139894}"/>
  <bookViews>
    <workbookView xWindow="660" yWindow="-16320" windowWidth="29040" windowHeight="15720" xr2:uid="{DB299C8F-BC93-4B03-82ED-EDC1EFAE3C08}"/>
  </bookViews>
  <sheets>
    <sheet name="Data envt" sheetId="5" r:id="rId1"/>
    <sheet name="Traînée ROV" sheetId="1" r:id="rId2"/>
    <sheet name="Traînée câble" sheetId="6" r:id="rId3"/>
    <sheet name="Initialisatio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7" l="1"/>
  <c r="G6" i="7"/>
  <c r="H6" i="7"/>
  <c r="I6" i="7"/>
  <c r="J6" i="7"/>
  <c r="K6" i="7"/>
  <c r="K7" i="7" s="1"/>
  <c r="K8" i="7" s="1"/>
  <c r="L6" i="7"/>
  <c r="M6" i="7"/>
  <c r="N6" i="7"/>
  <c r="O6" i="7"/>
  <c r="P6" i="7"/>
  <c r="P7" i="7" s="1"/>
  <c r="P8" i="7" s="1"/>
  <c r="Q6" i="7"/>
  <c r="Q7" i="7" s="1"/>
  <c r="Q8" i="7" s="1"/>
  <c r="R6" i="7"/>
  <c r="R7" i="7" s="1"/>
  <c r="R8" i="7" s="1"/>
  <c r="S6" i="7"/>
  <c r="T6" i="7"/>
  <c r="U6" i="7"/>
  <c r="V6" i="7"/>
  <c r="W6" i="7"/>
  <c r="W7" i="7" s="1"/>
  <c r="W8" i="7" s="1"/>
  <c r="X6" i="7"/>
  <c r="Y6" i="7"/>
  <c r="Z6" i="7"/>
  <c r="AA6" i="7"/>
  <c r="AB6" i="7"/>
  <c r="AB7" i="7" s="1"/>
  <c r="AB8" i="7" s="1"/>
  <c r="AC6" i="7"/>
  <c r="AC7" i="7" s="1"/>
  <c r="AC8" i="7" s="1"/>
  <c r="AD6" i="7"/>
  <c r="AD7" i="7" s="1"/>
  <c r="AD8" i="7" s="1"/>
  <c r="AE6" i="7"/>
  <c r="AF6" i="7"/>
  <c r="AG6" i="7"/>
  <c r="AH6" i="7"/>
  <c r="AI6" i="7"/>
  <c r="AI7" i="7" s="1"/>
  <c r="AI8" i="7" s="1"/>
  <c r="AJ6" i="7"/>
  <c r="AK6" i="7"/>
  <c r="AL6" i="7"/>
  <c r="AM6" i="7"/>
  <c r="AN6" i="7"/>
  <c r="AN7" i="7" s="1"/>
  <c r="AN8" i="7" s="1"/>
  <c r="AO6" i="7"/>
  <c r="AO7" i="7" s="1"/>
  <c r="AO8" i="7" s="1"/>
  <c r="AP6" i="7"/>
  <c r="AP7" i="7" s="1"/>
  <c r="AP8" i="7" s="1"/>
  <c r="AQ6" i="7"/>
  <c r="AR6" i="7"/>
  <c r="AS6" i="7"/>
  <c r="AT6" i="7"/>
  <c r="AU6" i="7"/>
  <c r="AU7" i="7" s="1"/>
  <c r="AU8" i="7" s="1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CC7" i="7" s="1"/>
  <c r="CC8" i="7" s="1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CW6" i="7"/>
  <c r="CX6" i="7"/>
  <c r="CY6" i="7"/>
  <c r="CZ6" i="7"/>
  <c r="DA6" i="7"/>
  <c r="F6" i="7"/>
  <c r="G7" i="7"/>
  <c r="G8" i="7" s="1"/>
  <c r="CA2" i="7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CQ2" i="7" s="1"/>
  <c r="CR2" i="7" s="1"/>
  <c r="CS2" i="7" s="1"/>
  <c r="CT2" i="7" s="1"/>
  <c r="CU2" i="7" s="1"/>
  <c r="CV2" i="7" s="1"/>
  <c r="CW2" i="7" s="1"/>
  <c r="CX2" i="7" s="1"/>
  <c r="CY2" i="7" s="1"/>
  <c r="CZ2" i="7" s="1"/>
  <c r="DA2" i="7" s="1"/>
  <c r="CA4" i="7"/>
  <c r="CB4" i="7"/>
  <c r="CC4" i="7"/>
  <c r="CD4" i="7"/>
  <c r="CE4" i="7"/>
  <c r="CF4" i="7"/>
  <c r="CG4" i="7"/>
  <c r="CH4" i="7"/>
  <c r="CI4" i="7"/>
  <c r="CJ4" i="7"/>
  <c r="CJ5" i="7" s="1"/>
  <c r="CK4" i="7"/>
  <c r="CK5" i="7" s="1"/>
  <c r="CL4" i="7"/>
  <c r="CA5" i="7"/>
  <c r="CB5" i="7"/>
  <c r="CC5" i="7"/>
  <c r="CD5" i="7"/>
  <c r="CE5" i="7"/>
  <c r="CF5" i="7"/>
  <c r="CG5" i="7"/>
  <c r="CH5" i="7"/>
  <c r="CI5" i="7"/>
  <c r="CA7" i="7"/>
  <c r="CA8" i="7" s="1"/>
  <c r="CB7" i="7"/>
  <c r="CB8" i="7" s="1"/>
  <c r="BI2" i="7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BI4" i="7"/>
  <c r="BJ4" i="7"/>
  <c r="BJ5" i="7" s="1"/>
  <c r="BI5" i="7"/>
  <c r="H2" i="7"/>
  <c r="I2" i="7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G2" i="7"/>
  <c r="AV4" i="7"/>
  <c r="AW4" i="7"/>
  <c r="AX4" i="7" s="1"/>
  <c r="AV5" i="7"/>
  <c r="AV7" i="7" s="1"/>
  <c r="AV8" i="7" s="1"/>
  <c r="AA11" i="7"/>
  <c r="L8" i="7"/>
  <c r="M8" i="7"/>
  <c r="N8" i="7"/>
  <c r="S8" i="7"/>
  <c r="X8" i="7"/>
  <c r="Y8" i="7"/>
  <c r="Z8" i="7"/>
  <c r="AE8" i="7"/>
  <c r="AJ8" i="7"/>
  <c r="AK8" i="7"/>
  <c r="AL8" i="7"/>
  <c r="AQ8" i="7"/>
  <c r="H7" i="7"/>
  <c r="H8" i="7" s="1"/>
  <c r="I7" i="7"/>
  <c r="I8" i="7" s="1"/>
  <c r="J7" i="7"/>
  <c r="J8" i="7" s="1"/>
  <c r="M7" i="7"/>
  <c r="N7" i="7"/>
  <c r="O7" i="7"/>
  <c r="O8" i="7" s="1"/>
  <c r="S7" i="7"/>
  <c r="T7" i="7"/>
  <c r="T8" i="7" s="1"/>
  <c r="U7" i="7"/>
  <c r="U8" i="7" s="1"/>
  <c r="V7" i="7"/>
  <c r="V8" i="7" s="1"/>
  <c r="X7" i="7"/>
  <c r="Y7" i="7"/>
  <c r="Z7" i="7"/>
  <c r="AA7" i="7"/>
  <c r="AA8" i="7" s="1"/>
  <c r="AE7" i="7"/>
  <c r="AF7" i="7"/>
  <c r="AF8" i="7" s="1"/>
  <c r="AG7" i="7"/>
  <c r="AG8" i="7" s="1"/>
  <c r="AH7" i="7"/>
  <c r="AH8" i="7" s="1"/>
  <c r="AJ7" i="7"/>
  <c r="AK7" i="7"/>
  <c r="AL7" i="7"/>
  <c r="AM7" i="7"/>
  <c r="AM8" i="7" s="1"/>
  <c r="AQ7" i="7"/>
  <c r="AR7" i="7"/>
  <c r="AR8" i="7" s="1"/>
  <c r="AS7" i="7"/>
  <c r="AS8" i="7" s="1"/>
  <c r="AT7" i="7"/>
  <c r="AT8" i="7" s="1"/>
  <c r="F7" i="7"/>
  <c r="F8" i="7" s="1"/>
  <c r="C9" i="7" l="1"/>
  <c r="C10" i="7" s="1"/>
  <c r="C13" i="7" s="1" a="1"/>
  <c r="C13" i="7" s="1"/>
  <c r="CI7" i="7"/>
  <c r="CI8" i="7" s="1"/>
  <c r="CH7" i="7"/>
  <c r="CH8" i="7" s="1"/>
  <c r="CM4" i="7"/>
  <c r="CL5" i="7"/>
  <c r="CK7" i="7"/>
  <c r="CK8" i="7" s="1"/>
  <c r="CG7" i="7"/>
  <c r="CG8" i="7" s="1"/>
  <c r="CJ7" i="7"/>
  <c r="CJ8" i="7" s="1"/>
  <c r="CE7" i="7"/>
  <c r="CE8" i="7" s="1"/>
  <c r="CD7" i="7"/>
  <c r="CD8" i="7" s="1"/>
  <c r="CF7" i="7"/>
  <c r="CF8" i="7" s="1"/>
  <c r="BJ7" i="7"/>
  <c r="BJ8" i="7" s="1"/>
  <c r="BI7" i="7"/>
  <c r="BI8" i="7" s="1"/>
  <c r="BK4" i="7"/>
  <c r="AX5" i="7"/>
  <c r="AY4" i="7"/>
  <c r="AW5" i="7"/>
  <c r="V4" i="7"/>
  <c r="W4" i="7"/>
  <c r="X4" i="7" s="1"/>
  <c r="V5" i="7"/>
  <c r="W5" i="7"/>
  <c r="C12" i="7" l="1" a="1"/>
  <c r="C12" i="7" s="1"/>
  <c r="C11" i="7" a="1"/>
  <c r="C11" i="7" s="1"/>
  <c r="CL7" i="7"/>
  <c r="CL8" i="7" s="1"/>
  <c r="CN4" i="7"/>
  <c r="CM5" i="7"/>
  <c r="BK5" i="7"/>
  <c r="BL4" i="7"/>
  <c r="AW7" i="7"/>
  <c r="AW8" i="7" s="1"/>
  <c r="AY5" i="7"/>
  <c r="AZ4" i="7"/>
  <c r="AX7" i="7"/>
  <c r="AX8" i="7" s="1"/>
  <c r="Y4" i="7"/>
  <c r="X5" i="7"/>
  <c r="H4" i="7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G4" i="7"/>
  <c r="G5" i="7"/>
  <c r="F5" i="7"/>
  <c r="C6" i="7"/>
  <c r="I2" i="6"/>
  <c r="H2" i="6"/>
  <c r="I4" i="6"/>
  <c r="I5" i="6"/>
  <c r="I6" i="6"/>
  <c r="I9" i="6"/>
  <c r="I10" i="6"/>
  <c r="I11" i="6"/>
  <c r="H5" i="6"/>
  <c r="H6" i="6"/>
  <c r="H7" i="6"/>
  <c r="H8" i="6"/>
  <c r="H9" i="6"/>
  <c r="H10" i="6"/>
  <c r="H11" i="6"/>
  <c r="H12" i="6"/>
  <c r="H4" i="6"/>
  <c r="CM7" i="7" l="1"/>
  <c r="CM8" i="7" s="1"/>
  <c r="CO4" i="7"/>
  <c r="CN5" i="7"/>
  <c r="BK7" i="7"/>
  <c r="BK8" i="7" s="1"/>
  <c r="BL5" i="7"/>
  <c r="BM4" i="7"/>
  <c r="AZ5" i="7"/>
  <c r="BA4" i="7"/>
  <c r="AY7" i="7"/>
  <c r="AY8" i="7" s="1"/>
  <c r="Z4" i="7"/>
  <c r="Y5" i="7"/>
  <c r="I5" i="7"/>
  <c r="H5" i="7"/>
  <c r="B9" i="6"/>
  <c r="B12" i="5"/>
  <c r="B13" i="5"/>
  <c r="B17" i="5"/>
  <c r="I5" i="1" s="1"/>
  <c r="B18" i="5"/>
  <c r="D8" i="1" s="1"/>
  <c r="B25" i="5"/>
  <c r="I7" i="6" s="1"/>
  <c r="B26" i="5" a="1"/>
  <c r="B26" i="5" s="1"/>
  <c r="H11" i="1"/>
  <c r="I7" i="1"/>
  <c r="I4" i="1"/>
  <c r="I11" i="1" s="1"/>
  <c r="B14" i="5" l="1"/>
  <c r="B20" i="5" s="1"/>
  <c r="D11" i="1" s="1"/>
  <c r="B30" i="5"/>
  <c r="I12" i="6" s="1"/>
  <c r="I8" i="6"/>
  <c r="CN7" i="7"/>
  <c r="CN8" i="7" s="1"/>
  <c r="CP4" i="7"/>
  <c r="CO5" i="7"/>
  <c r="BL7" i="7"/>
  <c r="BL8" i="7" s="1"/>
  <c r="BM5" i="7"/>
  <c r="BN4" i="7"/>
  <c r="BB4" i="7"/>
  <c r="BA5" i="7"/>
  <c r="AZ7" i="7"/>
  <c r="AZ8" i="7" s="1"/>
  <c r="AA4" i="7"/>
  <c r="Z5" i="7"/>
  <c r="J5" i="7"/>
  <c r="B10" i="6"/>
  <c r="D5" i="1"/>
  <c r="H5" i="1"/>
  <c r="H12" i="1" s="1"/>
  <c r="I8" i="1"/>
  <c r="I13" i="1" s="1"/>
  <c r="H8" i="1"/>
  <c r="H13" i="1" s="1"/>
  <c r="I12" i="1"/>
  <c r="J4" i="1"/>
  <c r="J11" i="1" s="1"/>
  <c r="J7" i="1"/>
  <c r="J8" i="1" s="1"/>
  <c r="J13" i="1" s="1"/>
  <c r="CQ4" i="7" l="1"/>
  <c r="CP5" i="7"/>
  <c r="CO7" i="7"/>
  <c r="CO8" i="7" s="1"/>
  <c r="BN5" i="7"/>
  <c r="BO4" i="7"/>
  <c r="BM7" i="7"/>
  <c r="BM8" i="7" s="1"/>
  <c r="BA7" i="7"/>
  <c r="BA8" i="7" s="1"/>
  <c r="BC4" i="7"/>
  <c r="BB5" i="7"/>
  <c r="AB4" i="7"/>
  <c r="AA5" i="7"/>
  <c r="K5" i="7"/>
  <c r="B16" i="6"/>
  <c r="B15" i="6"/>
  <c r="B19" i="6" s="1"/>
  <c r="B24" i="6" s="1"/>
  <c r="D16" i="6"/>
  <c r="D15" i="6"/>
  <c r="D19" i="6" s="1"/>
  <c r="D23" i="6" s="1"/>
  <c r="B13" i="6"/>
  <c r="D12" i="6"/>
  <c r="B12" i="6"/>
  <c r="D13" i="6"/>
  <c r="K4" i="1"/>
  <c r="K11" i="1" s="1"/>
  <c r="J5" i="1"/>
  <c r="J12" i="1" s="1"/>
  <c r="K7" i="1"/>
  <c r="K8" i="1" s="1"/>
  <c r="K13" i="1" s="1"/>
  <c r="CR4" i="7" l="1"/>
  <c r="CQ5" i="7"/>
  <c r="CP7" i="7"/>
  <c r="CP8" i="7" s="1"/>
  <c r="BP4" i="7"/>
  <c r="BO5" i="7"/>
  <c r="BN7" i="7"/>
  <c r="BN8" i="7" s="1"/>
  <c r="BB7" i="7"/>
  <c r="BB8" i="7" s="1"/>
  <c r="BD4" i="7"/>
  <c r="BC5" i="7"/>
  <c r="AC4" i="7"/>
  <c r="AB5" i="7"/>
  <c r="L5" i="7"/>
  <c r="D27" i="6"/>
  <c r="B27" i="6"/>
  <c r="B28" i="6"/>
  <c r="D28" i="6"/>
  <c r="L4" i="1"/>
  <c r="L11" i="1" s="1"/>
  <c r="K5" i="1"/>
  <c r="K12" i="1" s="1"/>
  <c r="L7" i="1"/>
  <c r="L8" i="1" s="1"/>
  <c r="L13" i="1" s="1"/>
  <c r="CQ7" i="7" l="1"/>
  <c r="CQ8" i="7" s="1"/>
  <c r="CS4" i="7"/>
  <c r="CR5" i="7"/>
  <c r="BO7" i="7"/>
  <c r="BO8" i="7" s="1"/>
  <c r="BP5" i="7"/>
  <c r="BQ4" i="7"/>
  <c r="BC7" i="7"/>
  <c r="BC8" i="7" s="1"/>
  <c r="BE4" i="7"/>
  <c r="BD5" i="7"/>
  <c r="AC5" i="7"/>
  <c r="AD4" i="7"/>
  <c r="M5" i="7"/>
  <c r="B30" i="6"/>
  <c r="D30" i="6"/>
  <c r="M4" i="1"/>
  <c r="M11" i="1" s="1"/>
  <c r="L5" i="1"/>
  <c r="L12" i="1" s="1"/>
  <c r="M7" i="1"/>
  <c r="M8" i="1" s="1"/>
  <c r="M13" i="1" s="1"/>
  <c r="CT4" i="7" l="1"/>
  <c r="CS5" i="7"/>
  <c r="CR7" i="7"/>
  <c r="CR8" i="7" s="1"/>
  <c r="BR4" i="7"/>
  <c r="BQ5" i="7"/>
  <c r="BP7" i="7"/>
  <c r="BP8" i="7" s="1"/>
  <c r="BD7" i="7"/>
  <c r="BD8" i="7" s="1"/>
  <c r="BF4" i="7"/>
  <c r="BE5" i="7"/>
  <c r="AD5" i="7"/>
  <c r="AE4" i="7"/>
  <c r="N5" i="7"/>
  <c r="N4" i="1"/>
  <c r="N11" i="1" s="1"/>
  <c r="M5" i="1"/>
  <c r="M12" i="1" s="1"/>
  <c r="N7" i="1"/>
  <c r="N8" i="1" s="1"/>
  <c r="N13" i="1" s="1"/>
  <c r="CS7" i="7" l="1"/>
  <c r="CS8" i="7" s="1"/>
  <c r="CU4" i="7"/>
  <c r="CT5" i="7"/>
  <c r="BQ7" i="7"/>
  <c r="BQ8" i="7" s="1"/>
  <c r="BS4" i="7"/>
  <c r="BR5" i="7"/>
  <c r="BG4" i="7"/>
  <c r="BF5" i="7"/>
  <c r="BE7" i="7"/>
  <c r="BE8" i="7" s="1"/>
  <c r="AE5" i="7"/>
  <c r="AF4" i="7"/>
  <c r="O5" i="7"/>
  <c r="O4" i="1"/>
  <c r="O11" i="1" s="1"/>
  <c r="N5" i="1"/>
  <c r="N12" i="1" s="1"/>
  <c r="O7" i="1"/>
  <c r="O8" i="1" s="1"/>
  <c r="O13" i="1" s="1"/>
  <c r="CV4" i="7" l="1"/>
  <c r="CU5" i="7"/>
  <c r="CT7" i="7"/>
  <c r="CT8" i="7" s="1"/>
  <c r="BT4" i="7"/>
  <c r="BS5" i="7"/>
  <c r="BR7" i="7"/>
  <c r="BR8" i="7" s="1"/>
  <c r="BH4" i="7"/>
  <c r="BH5" i="7" s="1"/>
  <c r="BG5" i="7"/>
  <c r="BF7" i="7"/>
  <c r="BF8" i="7" s="1"/>
  <c r="AF5" i="7"/>
  <c r="AG4" i="7"/>
  <c r="P5" i="7"/>
  <c r="P4" i="1"/>
  <c r="P11" i="1" s="1"/>
  <c r="O5" i="1"/>
  <c r="O12" i="1" s="1"/>
  <c r="P7" i="1"/>
  <c r="P8" i="1" s="1"/>
  <c r="P13" i="1" s="1"/>
  <c r="CU7" i="7" l="1"/>
  <c r="CU8" i="7" s="1"/>
  <c r="CV5" i="7"/>
  <c r="CW4" i="7"/>
  <c r="BS7" i="7"/>
  <c r="BS8" i="7" s="1"/>
  <c r="BT5" i="7"/>
  <c r="BU4" i="7"/>
  <c r="BG7" i="7"/>
  <c r="BG8" i="7" s="1"/>
  <c r="BH7" i="7"/>
  <c r="BH8" i="7" s="1"/>
  <c r="AH4" i="7"/>
  <c r="AG5" i="7"/>
  <c r="Q5" i="7"/>
  <c r="Q4" i="1"/>
  <c r="Q11" i="1" s="1"/>
  <c r="P5" i="1"/>
  <c r="P12" i="1" s="1"/>
  <c r="Q7" i="1"/>
  <c r="Q8" i="1" s="1"/>
  <c r="Q13" i="1" s="1"/>
  <c r="CW5" i="7" l="1"/>
  <c r="CX4" i="7"/>
  <c r="CV7" i="7"/>
  <c r="CV8" i="7" s="1"/>
  <c r="BV4" i="7"/>
  <c r="BU5" i="7"/>
  <c r="BT7" i="7"/>
  <c r="BT8" i="7" s="1"/>
  <c r="AI4" i="7"/>
  <c r="AH5" i="7"/>
  <c r="R5" i="7"/>
  <c r="R4" i="1"/>
  <c r="Q5" i="1"/>
  <c r="Q12" i="1" s="1"/>
  <c r="R7" i="1"/>
  <c r="CY4" i="7" l="1"/>
  <c r="CX5" i="7"/>
  <c r="CW7" i="7"/>
  <c r="CW8" i="7" s="1"/>
  <c r="BU7" i="7"/>
  <c r="BU8" i="7" s="1"/>
  <c r="BV5" i="7"/>
  <c r="BW4" i="7"/>
  <c r="AJ4" i="7"/>
  <c r="AI5" i="7"/>
  <c r="S5" i="7"/>
  <c r="R8" i="1"/>
  <c r="R13" i="1" s="1"/>
  <c r="S7" i="1"/>
  <c r="R11" i="1"/>
  <c r="S4" i="1"/>
  <c r="R5" i="1"/>
  <c r="R12" i="1" s="1"/>
  <c r="CX7" i="7" l="1"/>
  <c r="CX8" i="7" s="1"/>
  <c r="CZ4" i="7"/>
  <c r="CY5" i="7"/>
  <c r="BV7" i="7"/>
  <c r="BV8" i="7" s="1"/>
  <c r="BW5" i="7"/>
  <c r="BX4" i="7"/>
  <c r="AK4" i="7"/>
  <c r="AJ5" i="7"/>
  <c r="U5" i="7"/>
  <c r="T5" i="7"/>
  <c r="S11" i="1"/>
  <c r="T4" i="1"/>
  <c r="S5" i="1"/>
  <c r="S12" i="1" s="1"/>
  <c r="S8" i="1"/>
  <c r="S13" i="1" s="1"/>
  <c r="T7" i="1"/>
  <c r="DA4" i="7" l="1"/>
  <c r="DA5" i="7" s="1"/>
  <c r="CZ5" i="7"/>
  <c r="CY7" i="7"/>
  <c r="CY8" i="7" s="1"/>
  <c r="BY4" i="7"/>
  <c r="BX5" i="7"/>
  <c r="BW7" i="7"/>
  <c r="BW8" i="7" s="1"/>
  <c r="AL4" i="7"/>
  <c r="AK5" i="7"/>
  <c r="T8" i="1"/>
  <c r="T13" i="1" s="1"/>
  <c r="U7" i="1"/>
  <c r="U4" i="1"/>
  <c r="T11" i="1"/>
  <c r="T5" i="1"/>
  <c r="T12" i="1" s="1"/>
  <c r="CZ7" i="7" l="1"/>
  <c r="CZ8" i="7" s="1"/>
  <c r="DA7" i="7"/>
  <c r="DA8" i="7" s="1"/>
  <c r="BX7" i="7"/>
  <c r="BX8" i="7" s="1"/>
  <c r="BZ4" i="7"/>
  <c r="BZ5" i="7" s="1"/>
  <c r="BY5" i="7"/>
  <c r="AM4" i="7"/>
  <c r="AL5" i="7"/>
  <c r="V4" i="1"/>
  <c r="U11" i="1"/>
  <c r="U5" i="1"/>
  <c r="U12" i="1" s="1"/>
  <c r="V7" i="1"/>
  <c r="U8" i="1"/>
  <c r="U13" i="1" s="1"/>
  <c r="BZ7" i="7" l="1"/>
  <c r="BZ8" i="7" s="1"/>
  <c r="BY7" i="7"/>
  <c r="BY8" i="7" s="1"/>
  <c r="AN4" i="7"/>
  <c r="AM5" i="7"/>
  <c r="V8" i="1"/>
  <c r="V13" i="1" s="1"/>
  <c r="W7" i="1"/>
  <c r="W4" i="1"/>
  <c r="V11" i="1"/>
  <c r="V5" i="1"/>
  <c r="V12" i="1" s="1"/>
  <c r="AO4" i="7" l="1"/>
  <c r="AN5" i="7"/>
  <c r="W5" i="1"/>
  <c r="W12" i="1" s="1"/>
  <c r="X4" i="1"/>
  <c r="W11" i="1"/>
  <c r="X7" i="1"/>
  <c r="W8" i="1"/>
  <c r="W13" i="1" s="1"/>
  <c r="AP4" i="7" l="1"/>
  <c r="AO5" i="7"/>
  <c r="Y7" i="1"/>
  <c r="X8" i="1"/>
  <c r="X13" i="1" s="1"/>
  <c r="X11" i="1"/>
  <c r="Y4" i="1"/>
  <c r="X5" i="1"/>
  <c r="X12" i="1" s="1"/>
  <c r="AP5" i="7" l="1"/>
  <c r="AQ4" i="7"/>
  <c r="Z4" i="1"/>
  <c r="Y11" i="1"/>
  <c r="Y5" i="1"/>
  <c r="Y12" i="1" s="1"/>
  <c r="Z7" i="1"/>
  <c r="Y8" i="1"/>
  <c r="Y13" i="1" s="1"/>
  <c r="AR4" i="7" l="1"/>
  <c r="AQ5" i="7"/>
  <c r="AA7" i="1"/>
  <c r="Z8" i="1"/>
  <c r="Z13" i="1" s="1"/>
  <c r="Z11" i="1"/>
  <c r="AA4" i="1"/>
  <c r="Z5" i="1"/>
  <c r="Z12" i="1" s="1"/>
  <c r="AR5" i="7" l="1"/>
  <c r="AS4" i="7"/>
  <c r="AA11" i="1"/>
  <c r="AB4" i="1"/>
  <c r="AA5" i="1"/>
  <c r="AA12" i="1" s="1"/>
  <c r="AA8" i="1"/>
  <c r="AA13" i="1" s="1"/>
  <c r="AB7" i="1"/>
  <c r="AB8" i="1" s="1"/>
  <c r="AB13" i="1" s="1"/>
  <c r="AT4" i="7" l="1"/>
  <c r="AS5" i="7"/>
  <c r="AB11" i="1"/>
  <c r="AB5" i="1"/>
  <c r="AB12" i="1" s="1"/>
  <c r="AU4" i="7" l="1"/>
  <c r="AU5" i="7" s="1"/>
  <c r="AT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<sst xmlns="http://schemas.openxmlformats.org/spreadsheetml/2006/main" count="109" uniqueCount="67">
  <si>
    <t>Cy</t>
  </si>
  <si>
    <t>Vol</t>
  </si>
  <si>
    <t>g</t>
  </si>
  <si>
    <t xml:space="preserve">Rho </t>
  </si>
  <si>
    <t>Archimède</t>
  </si>
  <si>
    <t>Poids</t>
  </si>
  <si>
    <t>Poids linéique</t>
  </si>
  <si>
    <t>N / m</t>
  </si>
  <si>
    <t>m</t>
  </si>
  <si>
    <t>Diamètre câble</t>
  </si>
  <si>
    <t>Poids apparent linéique</t>
  </si>
  <si>
    <t>N</t>
  </si>
  <si>
    <t>Masse</t>
  </si>
  <si>
    <t>Cx</t>
  </si>
  <si>
    <t>Poids apparent</t>
  </si>
  <si>
    <t>Masse volumique</t>
  </si>
  <si>
    <t>m/s</t>
  </si>
  <si>
    <t>kg</t>
  </si>
  <si>
    <t>m3</t>
  </si>
  <si>
    <t>kg / m3</t>
  </si>
  <si>
    <t>Longueur</t>
  </si>
  <si>
    <t>Largeur</t>
  </si>
  <si>
    <t>Hauteur</t>
  </si>
  <si>
    <t>Vx</t>
  </si>
  <si>
    <t>Vy</t>
  </si>
  <si>
    <t>Vitesse de chûte</t>
  </si>
  <si>
    <t>Surface y</t>
  </si>
  <si>
    <t>Surface x</t>
  </si>
  <si>
    <t>m2</t>
  </si>
  <si>
    <t>m / sec2</t>
  </si>
  <si>
    <t>Poids apparent 100 m</t>
  </si>
  <si>
    <t>Traînée x</t>
  </si>
  <si>
    <t>Traînée y</t>
  </si>
  <si>
    <t>V</t>
  </si>
  <si>
    <t xml:space="preserve">ROV </t>
  </si>
  <si>
    <t>CABLE</t>
  </si>
  <si>
    <t>Cf</t>
  </si>
  <si>
    <t>Longueur cable</t>
  </si>
  <si>
    <t>Surface_x</t>
  </si>
  <si>
    <t>Surface_y</t>
  </si>
  <si>
    <t>Fond _y</t>
  </si>
  <si>
    <t>Fond_x</t>
  </si>
  <si>
    <t>teta</t>
  </si>
  <si>
    <t>i</t>
  </si>
  <si>
    <t>j</t>
  </si>
  <si>
    <t>u</t>
  </si>
  <si>
    <t>v</t>
  </si>
  <si>
    <t>V courant</t>
  </si>
  <si>
    <t>V cable</t>
  </si>
  <si>
    <t>L</t>
  </si>
  <si>
    <t>Trainée long</t>
  </si>
  <si>
    <t>Trainée perp</t>
  </si>
  <si>
    <t xml:space="preserve">Trainée cable </t>
  </si>
  <si>
    <t>xrov</t>
  </si>
  <si>
    <t>yrov</t>
  </si>
  <si>
    <t>L_straight</t>
  </si>
  <si>
    <t>xH</t>
  </si>
  <si>
    <t>a</t>
  </si>
  <si>
    <t>xH + L</t>
  </si>
  <si>
    <t>L init</t>
  </si>
  <si>
    <t>| xH + L - L_init |</t>
  </si>
  <si>
    <t>Min</t>
  </si>
  <si>
    <t>index</t>
  </si>
  <si>
    <t>a min</t>
  </si>
  <si>
    <t>xH min</t>
  </si>
  <si>
    <t>L arc</t>
  </si>
  <si>
    <t>a ach((yrov+a)/a)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</si>
</sst>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0_-;\-* #,##0.0000_-;_-* &quot;-&quot;??_-;_-@_-"/>
    <numFmt numFmtId="167" formatCode="_-* #,##0.000_-;\-* #,##0.0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right"/>
    </xf>
    <xf numFmtId="43" fontId="0" fillId="0" borderId="0" xfId="1" applyFont="1"/>
    <xf numFmtId="166" fontId="0" fillId="0" borderId="0" xfId="1" applyNumberFormat="1" applyFont="1"/>
    <xf numFmtId="167" fontId="0" fillId="0" borderId="0" xfId="1" applyNumberFormat="1" applyFont="1"/>
    <xf numFmtId="167" fontId="2" fillId="0" borderId="0" xfId="1" applyNumberFormat="1" applyFont="1"/>
    <xf numFmtId="165" fontId="3" fillId="0" borderId="0" xfId="0" applyNumberFormat="1" applyFont="1"/>
    <xf numFmtId="0" fontId="0" fillId="2" borderId="0" xfId="0" applyFill="1" applyAlignment="1">
      <alignment horizontal="right"/>
    </xf>
    <xf numFmtId="167" fontId="0" fillId="2" borderId="0" xfId="1" applyNumberFormat="1" applyFont="1" applyFill="1"/>
    <xf numFmtId="0" fontId="0" fillId="3" borderId="0" xfId="0" applyFill="1" applyAlignment="1">
      <alignment horizontal="right"/>
    </xf>
    <xf numFmtId="167" fontId="0" fillId="3" borderId="0" xfId="1" applyNumberFormat="1" applyFont="1" applyFill="1"/>
    <xf numFmtId="0" fontId="4" fillId="0" borderId="0" xfId="0" applyFont="1" applyAlignment="1">
      <alignment horizontal="right"/>
    </xf>
    <xf numFmtId="0" fontId="0" fillId="4" borderId="0" xfId="0" applyFill="1"/>
    <xf numFmtId="2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'Traînée ROV'!$G$12</c:f>
              <c:strCache>
                <c:ptCount val="1"/>
                <c:pt idx="0">
                  <c:v>Traînée 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'Traînée ROV'!$H$11:$AB$11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</c:numCache>
            </c:numRef>
          </c:cat>
          <c:val>
            <c:numRef>
              <c:f>'Traînée ROV'!$H$12:$AB$12</c:f>
              <c:numCache>
                <c:formatCode>_-* #\ ##0.00\ _€_-;\-* #\ ##0.00\ _€_-;_-* "-"??\ _€_-;_-@_-</c:formatCode>
                <c:ptCount val="21"/>
                <c:pt idx="0">
                  <c:v>0</c:v>
                </c:pt>
                <c:pt idx="1">
                  <c:v>0.74160000000000026</c:v>
                </c:pt>
                <c:pt idx="2">
                  <c:v>2.966400000000001</c:v>
                </c:pt>
                <c:pt idx="3">
                  <c:v>6.6744000000000048</c:v>
                </c:pt>
                <c:pt idx="4">
                  <c:v>11.865600000000004</c:v>
                </c:pt>
                <c:pt idx="5">
                  <c:v>18.540000000000006</c:v>
                </c:pt>
                <c:pt idx="6">
                  <c:v>26.697600000000005</c:v>
                </c:pt>
                <c:pt idx="7">
                  <c:v>36.338400000000007</c:v>
                </c:pt>
                <c:pt idx="8">
                  <c:v>47.462400000000002</c:v>
                </c:pt>
                <c:pt idx="9">
                  <c:v>60.069600000000001</c:v>
                </c:pt>
                <c:pt idx="10">
                  <c:v>74.16</c:v>
                </c:pt>
                <c:pt idx="11">
                  <c:v>89.733600000000024</c:v>
                </c:pt>
                <c:pt idx="12">
                  <c:v>106.79040000000002</c:v>
                </c:pt>
                <c:pt idx="13">
                  <c:v>125.33040000000004</c:v>
                </c:pt>
                <c:pt idx="14">
                  <c:v>145.35360000000009</c:v>
                </c:pt>
                <c:pt idx="15">
                  <c:v>166.86000000000013</c:v>
                </c:pt>
                <c:pt idx="16">
                  <c:v>189.84960000000012</c:v>
                </c:pt>
                <c:pt idx="17">
                  <c:v>214.32240000000016</c:v>
                </c:pt>
                <c:pt idx="18">
                  <c:v>240.2784000000002</c:v>
                </c:pt>
                <c:pt idx="19">
                  <c:v>267.71760000000029</c:v>
                </c:pt>
                <c:pt idx="20">
                  <c:v>296.64000000000021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C-4C21-BB1B-360534AC7D58}"/>
            </c:ext>
          </c:extLst>
        </c:ser>
        <c:ser>
          <c:idx val="1"/>
          <c:order val="1"/>
          <c:tx>
            <c:strRef>
              <c:f>'Traînée ROV'!$G$13</c:f>
              <c:strCache>
                <c:ptCount val="1"/>
                <c:pt idx="0">
                  <c:v>Traînée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'Traînée ROV'!$H$11:$AB$11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</c:numCache>
            </c:numRef>
          </c:cat>
          <c:val>
            <c:numRef>
              <c:f>'Traînée ROV'!$H$13:$AB$13</c:f>
              <c:numCache>
                <c:formatCode>_-* #\ ##0.00\ _€_-;\-* #\ ##0.00\ _€_-;_-* "-"??\ _€_-;_-@_-</c:formatCode>
                <c:ptCount val="21"/>
                <c:pt idx="0">
                  <c:v>0</c:v>
                </c:pt>
                <c:pt idx="1">
                  <c:v>1.2978000000000001</c:v>
                </c:pt>
                <c:pt idx="2">
                  <c:v>5.1912000000000003</c:v>
                </c:pt>
                <c:pt idx="3">
                  <c:v>11.680200000000005</c:v>
                </c:pt>
                <c:pt idx="4">
                  <c:v>20.764800000000001</c:v>
                </c:pt>
                <c:pt idx="5">
                  <c:v>32.445</c:v>
                </c:pt>
                <c:pt idx="6">
                  <c:v>46.720799999999997</c:v>
                </c:pt>
                <c:pt idx="7">
                  <c:v>63.592199999999998</c:v>
                </c:pt>
                <c:pt idx="8">
                  <c:v>83.05919999999999</c:v>
                </c:pt>
                <c:pt idx="9">
                  <c:v>105.12179999999998</c:v>
                </c:pt>
                <c:pt idx="10">
                  <c:v>129.77999999999994</c:v>
                </c:pt>
                <c:pt idx="11">
                  <c:v>157.03379999999996</c:v>
                </c:pt>
                <c:pt idx="12">
                  <c:v>186.88319999999999</c:v>
                </c:pt>
                <c:pt idx="13">
                  <c:v>219.32820000000001</c:v>
                </c:pt>
                <c:pt idx="14">
                  <c:v>254.36880000000008</c:v>
                </c:pt>
                <c:pt idx="15">
                  <c:v>292.00500000000011</c:v>
                </c:pt>
                <c:pt idx="16">
                  <c:v>332.23680000000013</c:v>
                </c:pt>
                <c:pt idx="17">
                  <c:v>375.0642000000002</c:v>
                </c:pt>
                <c:pt idx="18">
                  <c:v>420.4872000000002</c:v>
                </c:pt>
                <c:pt idx="19">
                  <c:v>468.50580000000031</c:v>
                </c:pt>
                <c:pt idx="20">
                  <c:v>519.12000000000023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C-4C21-BB1B-360534AC7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927648"/>
        <c:axId val="1081928608"/>
      </c:lineChart>
      <c:catAx>
        <c:axId val="108192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928608"/>
        <c:crosses val="autoZero"/>
        <c:auto val="1"/>
        <c:lblAlgn val="ctr"/>
        <c:lblOffset val="100"/>
        <c:noMultiLvlLbl val="0"/>
      </c:catAx>
      <c:valAx>
        <c:axId val="108192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_€_-;\-* #\ ##0.0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92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282015</xdr:colOff>
      <xdr:row>15</xdr:row>
      <xdr:rowOff>15126</xdr:rowOff>
    </xdr:from>
    <xdr:to>
      <xdr:col>27</xdr:col>
      <xdr:colOff>550956</xdr:colOff>
      <xdr:row>34</xdr:row>
      <xdr:rowOff>37353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9572865-873D-EBB2-E307-3229D79AD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EC3C-F57F-4626-8718-178BD2240E14}">
  <sheetPr codeName="Feuil4"/>
  <dimension ref="A3:C30"/>
  <sheetViews>
    <sheetView tabSelected="1" workbookViewId="0">
      <selection activeCell="J29" sqref="J29"/>
    </sheetView>
  </sheetViews>
  <sheetFormatPr baseColWidth="10" defaultRowHeight="15" x14ac:dyDescent="0.25"/>
  <cols>
    <col min="1" max="1" width="25.28515625" customWidth="1"/>
  </cols>
  <sheetData>
    <row r="3" spans="1:3" x14ac:dyDescent="0.25">
      <c r="A3" s="2" t="s">
        <v>2</v>
      </c>
      <c r="B3" s="3">
        <v>9.81</v>
      </c>
      <c r="C3" t="s">
        <v>29</v>
      </c>
    </row>
    <row r="4" spans="1:3" x14ac:dyDescent="0.25">
      <c r="A4" s="2" t="s">
        <v>3</v>
      </c>
      <c r="B4" s="3">
        <v>1030</v>
      </c>
      <c r="C4" t="s">
        <v>19</v>
      </c>
    </row>
    <row r="5" spans="1:3" x14ac:dyDescent="0.25">
      <c r="A5" s="2"/>
      <c r="B5" s="3"/>
    </row>
    <row r="6" spans="1:3" x14ac:dyDescent="0.25">
      <c r="A6" s="12" t="s">
        <v>34</v>
      </c>
      <c r="B6" s="3"/>
    </row>
    <row r="7" spans="1:3" x14ac:dyDescent="0.25">
      <c r="A7" s="2" t="s">
        <v>21</v>
      </c>
      <c r="B7" s="5">
        <v>0.4</v>
      </c>
      <c r="C7" t="s">
        <v>8</v>
      </c>
    </row>
    <row r="8" spans="1:3" x14ac:dyDescent="0.25">
      <c r="A8" s="2" t="s">
        <v>20</v>
      </c>
      <c r="B8" s="5">
        <v>0.7</v>
      </c>
      <c r="C8" t="s">
        <v>8</v>
      </c>
    </row>
    <row r="9" spans="1:3" x14ac:dyDescent="0.25">
      <c r="A9" s="2" t="s">
        <v>22</v>
      </c>
      <c r="B9" s="5">
        <v>0.4</v>
      </c>
      <c r="C9" t="s">
        <v>8</v>
      </c>
    </row>
    <row r="10" spans="1:3" x14ac:dyDescent="0.25">
      <c r="A10" s="2" t="s">
        <v>12</v>
      </c>
      <c r="B10" s="5">
        <v>30.9</v>
      </c>
      <c r="C10" t="s">
        <v>17</v>
      </c>
    </row>
    <row r="11" spans="1:3" x14ac:dyDescent="0.25">
      <c r="A11" s="2" t="s">
        <v>1</v>
      </c>
      <c r="B11" s="5">
        <v>0.03</v>
      </c>
      <c r="C11" t="s">
        <v>18</v>
      </c>
    </row>
    <row r="12" spans="1:3" x14ac:dyDescent="0.25">
      <c r="A12" s="2" t="s">
        <v>5</v>
      </c>
      <c r="B12" s="5">
        <f>-1*B10*B3</f>
        <v>-303.12900000000002</v>
      </c>
      <c r="C12" t="s">
        <v>11</v>
      </c>
    </row>
    <row r="13" spans="1:3" x14ac:dyDescent="0.25">
      <c r="A13" s="2" t="s">
        <v>4</v>
      </c>
      <c r="B13" s="5">
        <f>B11*B3*B4</f>
        <v>303.12900000000002</v>
      </c>
      <c r="C13" t="s">
        <v>11</v>
      </c>
    </row>
    <row r="14" spans="1:3" x14ac:dyDescent="0.25">
      <c r="A14" s="8" t="s">
        <v>14</v>
      </c>
      <c r="B14" s="9">
        <f>B13+B12</f>
        <v>0</v>
      </c>
      <c r="C14" t="s">
        <v>11</v>
      </c>
    </row>
    <row r="15" spans="1:3" x14ac:dyDescent="0.25">
      <c r="A15" s="10" t="s">
        <v>13</v>
      </c>
      <c r="B15" s="11">
        <v>0.9</v>
      </c>
    </row>
    <row r="16" spans="1:3" x14ac:dyDescent="0.25">
      <c r="A16" s="10" t="s">
        <v>0</v>
      </c>
      <c r="B16" s="11">
        <v>0.9</v>
      </c>
      <c r="C16" s="1"/>
    </row>
    <row r="17" spans="1:3" x14ac:dyDescent="0.25">
      <c r="A17" s="2" t="s">
        <v>27</v>
      </c>
      <c r="B17" s="5">
        <f>B7*B9</f>
        <v>0.16000000000000003</v>
      </c>
      <c r="C17" s="1" t="s">
        <v>28</v>
      </c>
    </row>
    <row r="18" spans="1:3" x14ac:dyDescent="0.25">
      <c r="A18" s="2" t="s">
        <v>26</v>
      </c>
      <c r="B18" s="5">
        <f>B7*B8</f>
        <v>0.27999999999999997</v>
      </c>
      <c r="C18" s="1" t="s">
        <v>28</v>
      </c>
    </row>
    <row r="19" spans="1:3" x14ac:dyDescent="0.25">
      <c r="A19" s="2"/>
      <c r="C19" s="1"/>
    </row>
    <row r="20" spans="1:3" x14ac:dyDescent="0.25">
      <c r="A20" t="s">
        <v>25</v>
      </c>
      <c r="B20" s="6">
        <f>SQRT(ABS(2*B14/(B4*B16*B18)))</f>
        <v>0</v>
      </c>
      <c r="C20" t="s">
        <v>16</v>
      </c>
    </row>
    <row r="21" spans="1:3" x14ac:dyDescent="0.25">
      <c r="B21" s="6"/>
    </row>
    <row r="22" spans="1:3" x14ac:dyDescent="0.25">
      <c r="A22" s="12" t="s">
        <v>35</v>
      </c>
      <c r="B22" s="6"/>
    </row>
    <row r="23" spans="1:3" x14ac:dyDescent="0.25">
      <c r="A23" s="2" t="s">
        <v>9</v>
      </c>
      <c r="B23" s="4">
        <v>1E-3</v>
      </c>
      <c r="C23" t="s">
        <v>8</v>
      </c>
    </row>
    <row r="24" spans="1:3" x14ac:dyDescent="0.25">
      <c r="A24" s="2" t="s">
        <v>15</v>
      </c>
      <c r="B24" s="3">
        <v>1030</v>
      </c>
      <c r="C24" t="s">
        <v>19</v>
      </c>
    </row>
    <row r="25" spans="1:3" x14ac:dyDescent="0.25">
      <c r="A25" s="2" t="s">
        <v>6</v>
      </c>
      <c r="B25" s="4">
        <f>B3*B24*PI()*POWER(B23,2)/4</f>
        <v>7.9358986624168369E-3</v>
      </c>
      <c r="C25" t="s">
        <v>7</v>
      </c>
    </row>
    <row r="26" spans="1:3" x14ac:dyDescent="0.25">
      <c r="A26" s="2" t="s">
        <v>10</v>
      </c>
      <c r="B26" s="4" cm="1">
        <f t="array" ref="B26">B3*(B24-B4)*PI()*POWER(B23:B23,2)/4</f>
        <v>0</v>
      </c>
      <c r="C26" t="s">
        <v>7</v>
      </c>
    </row>
    <row r="27" spans="1:3" x14ac:dyDescent="0.25">
      <c r="A27" s="2" t="s">
        <v>13</v>
      </c>
      <c r="B27" s="4">
        <v>0.9</v>
      </c>
    </row>
    <row r="28" spans="1:3" x14ac:dyDescent="0.25">
      <c r="A28" s="2" t="s">
        <v>36</v>
      </c>
      <c r="B28" s="4">
        <v>0.04</v>
      </c>
    </row>
    <row r="30" spans="1:3" x14ac:dyDescent="0.25">
      <c r="A30" s="2" t="s">
        <v>30</v>
      </c>
      <c r="B30" s="4">
        <f>100*B26</f>
        <v>0</v>
      </c>
      <c r="C30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64BA-B9B5-4F28-AD0C-D9CA645A41BB}">
  <sheetPr codeName="Feuil1"/>
  <dimension ref="C4:AB13"/>
  <sheetViews>
    <sheetView topLeftCell="C1" zoomScale="102" workbookViewId="0">
      <selection activeCell="I8" sqref="I8"/>
    </sheetView>
  </sheetViews>
  <sheetFormatPr baseColWidth="10" defaultRowHeight="15" x14ac:dyDescent="0.25"/>
  <cols>
    <col min="3" max="3" width="19.28515625" customWidth="1"/>
    <col min="4" max="4" width="12" bestFit="1" customWidth="1"/>
    <col min="8" max="28" width="8.7109375" customWidth="1"/>
  </cols>
  <sheetData>
    <row r="4" spans="3:28" x14ac:dyDescent="0.25">
      <c r="C4" t="s">
        <v>23</v>
      </c>
      <c r="D4">
        <v>0.13</v>
      </c>
      <c r="G4" t="s">
        <v>23</v>
      </c>
      <c r="H4">
        <v>0</v>
      </c>
      <c r="I4">
        <f>H4+0.1</f>
        <v>0.1</v>
      </c>
      <c r="J4">
        <f t="shared" ref="J4:Q4" si="0">I4+0.1</f>
        <v>0.2</v>
      </c>
      <c r="K4">
        <f t="shared" si="0"/>
        <v>0.30000000000000004</v>
      </c>
      <c r="L4">
        <f t="shared" si="0"/>
        <v>0.4</v>
      </c>
      <c r="M4">
        <f t="shared" si="0"/>
        <v>0.5</v>
      </c>
      <c r="N4">
        <f t="shared" si="0"/>
        <v>0.6</v>
      </c>
      <c r="O4">
        <f t="shared" si="0"/>
        <v>0.7</v>
      </c>
      <c r="P4">
        <f t="shared" si="0"/>
        <v>0.79999999999999993</v>
      </c>
      <c r="Q4">
        <f t="shared" si="0"/>
        <v>0.89999999999999991</v>
      </c>
      <c r="R4">
        <f t="shared" ref="R4:X4" si="1">Q4+0.1</f>
        <v>0.99999999999999989</v>
      </c>
      <c r="S4">
        <f t="shared" si="1"/>
        <v>1.0999999999999999</v>
      </c>
      <c r="T4">
        <f t="shared" si="1"/>
        <v>1.2</v>
      </c>
      <c r="U4">
        <f t="shared" si="1"/>
        <v>1.3</v>
      </c>
      <c r="V4">
        <f t="shared" si="1"/>
        <v>1.4000000000000001</v>
      </c>
      <c r="W4">
        <f t="shared" si="1"/>
        <v>1.5000000000000002</v>
      </c>
      <c r="X4">
        <f t="shared" si="1"/>
        <v>1.6000000000000003</v>
      </c>
      <c r="Y4">
        <f t="shared" ref="Y4:AB4" si="2">X4+0.1</f>
        <v>1.7000000000000004</v>
      </c>
      <c r="Z4">
        <f t="shared" si="2"/>
        <v>1.8000000000000005</v>
      </c>
      <c r="AA4">
        <f t="shared" si="2"/>
        <v>1.9000000000000006</v>
      </c>
      <c r="AB4">
        <f t="shared" si="2"/>
        <v>2.0000000000000004</v>
      </c>
    </row>
    <row r="5" spans="3:28" x14ac:dyDescent="0.25">
      <c r="C5" t="s">
        <v>31</v>
      </c>
      <c r="D5" s="7">
        <f>0.5*'Data envt'!$B$15*'Data envt'!$B$17*D4*D4*'Data envt'!$B$4</f>
        <v>1.2533040000000006</v>
      </c>
      <c r="G5" t="s">
        <v>31</v>
      </c>
      <c r="H5" s="7">
        <f>0.5*'Data envt'!$B$15*'Data envt'!$B$17*H4*H4*'Data envt'!$B$4</f>
        <v>0</v>
      </c>
      <c r="I5" s="7">
        <f>0.5*'Data envt'!$B$15*'Data envt'!$B$17*I4*I4*'Data envt'!$B$4</f>
        <v>0.74160000000000026</v>
      </c>
      <c r="J5" s="7">
        <f>0.5*'Data envt'!$B$15*'Data envt'!$B$17*J4*J4*'Data envt'!$B$4</f>
        <v>2.966400000000001</v>
      </c>
      <c r="K5" s="7">
        <f>0.5*'Data envt'!$B$15*'Data envt'!$B$17*K4*K4*'Data envt'!$B$4</f>
        <v>6.6744000000000048</v>
      </c>
      <c r="L5" s="7">
        <f>0.5*'Data envt'!$B$15*'Data envt'!$B$17*L4*L4*'Data envt'!$B$4</f>
        <v>11.865600000000004</v>
      </c>
      <c r="M5" s="7">
        <f>0.5*'Data envt'!$B$15*'Data envt'!$B$17*M4*M4*'Data envt'!$B$4</f>
        <v>18.540000000000006</v>
      </c>
      <c r="N5" s="7">
        <f>0.5*'Data envt'!$B$15*'Data envt'!$B$17*N4*N4*'Data envt'!$B$4</f>
        <v>26.697600000000005</v>
      </c>
      <c r="O5" s="7">
        <f>0.5*'Data envt'!$B$15*'Data envt'!$B$17*O4*O4*'Data envt'!$B$4</f>
        <v>36.338400000000007</v>
      </c>
      <c r="P5" s="7">
        <f>0.5*'Data envt'!$B$15*'Data envt'!$B$17*P4*P4*'Data envt'!$B$4</f>
        <v>47.462400000000002</v>
      </c>
      <c r="Q5" s="7">
        <f>0.5*'Data envt'!$B$15*'Data envt'!$B$17*Q4*Q4*'Data envt'!$B$4</f>
        <v>60.069600000000001</v>
      </c>
      <c r="R5" s="7">
        <f>0.5*'Data envt'!$B$15*'Data envt'!$B$17*R4*R4*'Data envt'!$B$4</f>
        <v>74.16</v>
      </c>
      <c r="S5" s="7">
        <f>0.5*'Data envt'!$B$15*'Data envt'!$B$17*S4*S4*'Data envt'!$B$4</f>
        <v>89.733600000000024</v>
      </c>
      <c r="T5" s="7">
        <f>0.5*'Data envt'!$B$15*'Data envt'!$B$17*T4*T4*'Data envt'!$B$4</f>
        <v>106.79040000000002</v>
      </c>
      <c r="U5" s="7">
        <f>0.5*'Data envt'!$B$15*'Data envt'!$B$17*U4*U4*'Data envt'!$B$4</f>
        <v>125.33040000000004</v>
      </c>
      <c r="V5" s="7">
        <f>0.5*'Data envt'!$B$15*'Data envt'!$B$17*V4*V4*'Data envt'!$B$4</f>
        <v>145.35360000000009</v>
      </c>
      <c r="W5" s="7">
        <f>0.5*'Data envt'!$B$15*'Data envt'!$B$17*W4*W4*'Data envt'!$B$4</f>
        <v>166.86000000000013</v>
      </c>
      <c r="X5" s="7">
        <f>0.5*'Data envt'!$B$15*'Data envt'!$B$17*X4*X4*'Data envt'!$B$4</f>
        <v>189.84960000000012</v>
      </c>
      <c r="Y5" s="7">
        <f>0.5*'Data envt'!$B$15*'Data envt'!$B$17*Y4*Y4*'Data envt'!$B$4</f>
        <v>214.32240000000016</v>
      </c>
      <c r="Z5" s="7">
        <f>0.5*'Data envt'!$B$15*'Data envt'!$B$17*Z4*Z4*'Data envt'!$B$4</f>
        <v>240.2784000000002</v>
      </c>
      <c r="AA5" s="7">
        <f>0.5*'Data envt'!$B$15*'Data envt'!$B$17*AA4*AA4*'Data envt'!$B$4</f>
        <v>267.71760000000029</v>
      </c>
      <c r="AB5" s="7">
        <f>0.5*'Data envt'!$B$15*'Data envt'!$B$17*AB4*AB4*'Data envt'!$B$4</f>
        <v>296.64000000000021</v>
      </c>
    </row>
    <row r="7" spans="3:28" x14ac:dyDescent="0.25">
      <c r="C7" t="s">
        <v>24</v>
      </c>
      <c r="D7">
        <v>0.9</v>
      </c>
      <c r="F7" s="1"/>
      <c r="G7" t="s">
        <v>24</v>
      </c>
      <c r="H7">
        <v>0</v>
      </c>
      <c r="I7">
        <f>H7+0.1</f>
        <v>0.1</v>
      </c>
      <c r="J7">
        <f t="shared" ref="J7:AB7" si="3">I7+0.1</f>
        <v>0.2</v>
      </c>
      <c r="K7">
        <f t="shared" si="3"/>
        <v>0.30000000000000004</v>
      </c>
      <c r="L7">
        <f t="shared" si="3"/>
        <v>0.4</v>
      </c>
      <c r="M7">
        <f t="shared" si="3"/>
        <v>0.5</v>
      </c>
      <c r="N7">
        <f t="shared" si="3"/>
        <v>0.6</v>
      </c>
      <c r="O7">
        <f t="shared" si="3"/>
        <v>0.7</v>
      </c>
      <c r="P7">
        <f t="shared" si="3"/>
        <v>0.79999999999999993</v>
      </c>
      <c r="Q7">
        <f t="shared" si="3"/>
        <v>0.89999999999999991</v>
      </c>
      <c r="R7">
        <f t="shared" si="3"/>
        <v>0.99999999999999989</v>
      </c>
      <c r="S7">
        <f t="shared" si="3"/>
        <v>1.0999999999999999</v>
      </c>
      <c r="T7">
        <f t="shared" si="3"/>
        <v>1.2</v>
      </c>
      <c r="U7">
        <f t="shared" si="3"/>
        <v>1.3</v>
      </c>
      <c r="V7">
        <f t="shared" si="3"/>
        <v>1.4000000000000001</v>
      </c>
      <c r="W7">
        <f t="shared" si="3"/>
        <v>1.5000000000000002</v>
      </c>
      <c r="X7">
        <f t="shared" si="3"/>
        <v>1.6000000000000003</v>
      </c>
      <c r="Y7">
        <f t="shared" si="3"/>
        <v>1.7000000000000004</v>
      </c>
      <c r="Z7">
        <f t="shared" si="3"/>
        <v>1.8000000000000005</v>
      </c>
      <c r="AA7">
        <f t="shared" si="3"/>
        <v>1.9000000000000006</v>
      </c>
      <c r="AB7">
        <f t="shared" si="3"/>
        <v>2.0000000000000004</v>
      </c>
    </row>
    <row r="8" spans="3:28" x14ac:dyDescent="0.25">
      <c r="C8" t="s">
        <v>32</v>
      </c>
      <c r="D8" s="7">
        <f>0.5*'Data envt'!$B$16*'Data envt'!$B$18*D7*D7*'Data envt'!$B$4</f>
        <v>105.12179999999999</v>
      </c>
      <c r="G8" t="s">
        <v>32</v>
      </c>
      <c r="H8" s="7">
        <f>0.5*'Data envt'!$B$16*'Data envt'!$B$18*H7*H7*'Data envt'!$B$4</f>
        <v>0</v>
      </c>
      <c r="I8" s="7">
        <f>0.5*'Data envt'!$B$16*'Data envt'!$B$18*I7*I7*'Data envt'!$B$4</f>
        <v>1.2978000000000001</v>
      </c>
      <c r="J8" s="7">
        <f>0.5*'Data envt'!$B$16*'Data envt'!$B$18*J7*J7*'Data envt'!$B$4</f>
        <v>5.1912000000000003</v>
      </c>
      <c r="K8" s="7">
        <f>0.5*'Data envt'!$B$16*'Data envt'!$B$18*K7*K7*'Data envt'!$B$4</f>
        <v>11.680200000000005</v>
      </c>
      <c r="L8" s="7">
        <f>0.5*'Data envt'!$B$16*'Data envt'!$B$18*L7*L7*'Data envt'!$B$4</f>
        <v>20.764800000000001</v>
      </c>
      <c r="M8" s="7">
        <f>0.5*'Data envt'!$B$16*'Data envt'!$B$18*M7*M7*'Data envt'!$B$4</f>
        <v>32.445</v>
      </c>
      <c r="N8" s="7">
        <f>0.5*'Data envt'!$B$16*'Data envt'!$B$18*N7*N7*'Data envt'!$B$4</f>
        <v>46.720799999999997</v>
      </c>
      <c r="O8" s="7">
        <f>0.5*'Data envt'!$B$16*'Data envt'!$B$18*O7*O7*'Data envt'!$B$4</f>
        <v>63.592199999999998</v>
      </c>
      <c r="P8" s="7">
        <f>0.5*'Data envt'!$B$16*'Data envt'!$B$18*P7*P7*'Data envt'!$B$4</f>
        <v>83.05919999999999</v>
      </c>
      <c r="Q8" s="7">
        <f>0.5*'Data envt'!$B$16*'Data envt'!$B$18*Q7*Q7*'Data envt'!$B$4</f>
        <v>105.12179999999998</v>
      </c>
      <c r="R8" s="7">
        <f>0.5*'Data envt'!$B$16*'Data envt'!$B$18*R7*R7*'Data envt'!$B$4</f>
        <v>129.77999999999994</v>
      </c>
      <c r="S8" s="7">
        <f>0.5*'Data envt'!$B$16*'Data envt'!$B$18*S7*S7*'Data envt'!$B$4</f>
        <v>157.03379999999996</v>
      </c>
      <c r="T8" s="7">
        <f>0.5*'Data envt'!$B$16*'Data envt'!$B$18*T7*T7*'Data envt'!$B$4</f>
        <v>186.88319999999999</v>
      </c>
      <c r="U8" s="7">
        <f>0.5*'Data envt'!$B$16*'Data envt'!$B$18*U7*U7*'Data envt'!$B$4</f>
        <v>219.32820000000001</v>
      </c>
      <c r="V8" s="7">
        <f>0.5*'Data envt'!$B$16*'Data envt'!$B$18*V7*V7*'Data envt'!$B$4</f>
        <v>254.36880000000008</v>
      </c>
      <c r="W8" s="7">
        <f>0.5*'Data envt'!$B$16*'Data envt'!$B$18*W7*W7*'Data envt'!$B$4</f>
        <v>292.00500000000011</v>
      </c>
      <c r="X8" s="7">
        <f>0.5*'Data envt'!$B$16*'Data envt'!$B$18*X7*X7*'Data envt'!$B$4</f>
        <v>332.23680000000013</v>
      </c>
      <c r="Y8" s="7">
        <f>0.5*'Data envt'!$B$16*'Data envt'!$B$18*Y7*Y7*'Data envt'!$B$4</f>
        <v>375.0642000000002</v>
      </c>
      <c r="Z8" s="7">
        <f>0.5*'Data envt'!$B$16*'Data envt'!$B$18*Z7*Z7*'Data envt'!$B$4</f>
        <v>420.4872000000002</v>
      </c>
      <c r="AA8" s="7">
        <f>0.5*'Data envt'!$B$16*'Data envt'!$B$18*AA7*AA7*'Data envt'!$B$4</f>
        <v>468.50580000000031</v>
      </c>
      <c r="AB8" s="7">
        <f>0.5*'Data envt'!$B$16*'Data envt'!$B$18*AB7*AB7*'Data envt'!$B$4</f>
        <v>519.12000000000023</v>
      </c>
    </row>
    <row r="11" spans="3:28" x14ac:dyDescent="0.25">
      <c r="C11" t="s">
        <v>25</v>
      </c>
      <c r="D11" s="6">
        <f>'Data envt'!B20</f>
        <v>0</v>
      </c>
      <c r="E11" t="s">
        <v>16</v>
      </c>
      <c r="G11" t="s">
        <v>33</v>
      </c>
      <c r="H11">
        <f>H4</f>
        <v>0</v>
      </c>
      <c r="I11">
        <f t="shared" ref="I11:AB11" si="4">I4</f>
        <v>0.1</v>
      </c>
      <c r="J11">
        <f t="shared" si="4"/>
        <v>0.2</v>
      </c>
      <c r="K11">
        <f t="shared" si="4"/>
        <v>0.30000000000000004</v>
      </c>
      <c r="L11">
        <f t="shared" si="4"/>
        <v>0.4</v>
      </c>
      <c r="M11">
        <f t="shared" si="4"/>
        <v>0.5</v>
      </c>
      <c r="N11">
        <f t="shared" si="4"/>
        <v>0.6</v>
      </c>
      <c r="O11">
        <f t="shared" si="4"/>
        <v>0.7</v>
      </c>
      <c r="P11">
        <f t="shared" si="4"/>
        <v>0.79999999999999993</v>
      </c>
      <c r="Q11">
        <f t="shared" si="4"/>
        <v>0.89999999999999991</v>
      </c>
      <c r="R11">
        <f t="shared" si="4"/>
        <v>0.99999999999999989</v>
      </c>
      <c r="S11">
        <f t="shared" si="4"/>
        <v>1.0999999999999999</v>
      </c>
      <c r="T11">
        <f t="shared" si="4"/>
        <v>1.2</v>
      </c>
      <c r="U11">
        <f t="shared" si="4"/>
        <v>1.3</v>
      </c>
      <c r="V11">
        <f t="shared" si="4"/>
        <v>1.4000000000000001</v>
      </c>
      <c r="W11">
        <f t="shared" si="4"/>
        <v>1.5000000000000002</v>
      </c>
      <c r="X11">
        <f t="shared" si="4"/>
        <v>1.6000000000000003</v>
      </c>
      <c r="Y11">
        <f t="shared" si="4"/>
        <v>1.7000000000000004</v>
      </c>
      <c r="Z11">
        <f t="shared" si="4"/>
        <v>1.8000000000000005</v>
      </c>
      <c r="AA11">
        <f t="shared" si="4"/>
        <v>1.9000000000000006</v>
      </c>
      <c r="AB11">
        <f t="shared" si="4"/>
        <v>2.0000000000000004</v>
      </c>
    </row>
    <row r="12" spans="3:28" x14ac:dyDescent="0.25">
      <c r="G12" t="s">
        <v>31</v>
      </c>
      <c r="H12" s="7">
        <f>H5</f>
        <v>0</v>
      </c>
      <c r="I12" s="7">
        <f t="shared" ref="I12:AB12" si="5">I5</f>
        <v>0.74160000000000026</v>
      </c>
      <c r="J12" s="7">
        <f t="shared" si="5"/>
        <v>2.966400000000001</v>
      </c>
      <c r="K12" s="7">
        <f t="shared" si="5"/>
        <v>6.6744000000000048</v>
      </c>
      <c r="L12" s="7">
        <f t="shared" si="5"/>
        <v>11.865600000000004</v>
      </c>
      <c r="M12" s="7">
        <f t="shared" si="5"/>
        <v>18.540000000000006</v>
      </c>
      <c r="N12" s="7">
        <f t="shared" si="5"/>
        <v>26.697600000000005</v>
      </c>
      <c r="O12" s="7">
        <f t="shared" si="5"/>
        <v>36.338400000000007</v>
      </c>
      <c r="P12" s="7">
        <f t="shared" si="5"/>
        <v>47.462400000000002</v>
      </c>
      <c r="Q12" s="7">
        <f t="shared" si="5"/>
        <v>60.069600000000001</v>
      </c>
      <c r="R12" s="7">
        <f t="shared" si="5"/>
        <v>74.16</v>
      </c>
      <c r="S12" s="7">
        <f t="shared" si="5"/>
        <v>89.733600000000024</v>
      </c>
      <c r="T12" s="7">
        <f t="shared" si="5"/>
        <v>106.79040000000002</v>
      </c>
      <c r="U12" s="7">
        <f t="shared" si="5"/>
        <v>125.33040000000004</v>
      </c>
      <c r="V12" s="7">
        <f t="shared" si="5"/>
        <v>145.35360000000009</v>
      </c>
      <c r="W12" s="7">
        <f t="shared" si="5"/>
        <v>166.86000000000013</v>
      </c>
      <c r="X12" s="7">
        <f t="shared" si="5"/>
        <v>189.84960000000012</v>
      </c>
      <c r="Y12" s="7">
        <f t="shared" si="5"/>
        <v>214.32240000000016</v>
      </c>
      <c r="Z12" s="7">
        <f t="shared" si="5"/>
        <v>240.2784000000002</v>
      </c>
      <c r="AA12" s="7">
        <f t="shared" si="5"/>
        <v>267.71760000000029</v>
      </c>
      <c r="AB12" s="7">
        <f t="shared" si="5"/>
        <v>296.64000000000021</v>
      </c>
    </row>
    <row r="13" spans="3:28" x14ac:dyDescent="0.25">
      <c r="G13" t="s">
        <v>32</v>
      </c>
      <c r="H13" s="7">
        <f>H8</f>
        <v>0</v>
      </c>
      <c r="I13" s="7">
        <f t="shared" ref="I13:AB13" si="6">I8</f>
        <v>1.2978000000000001</v>
      </c>
      <c r="J13" s="7">
        <f t="shared" si="6"/>
        <v>5.1912000000000003</v>
      </c>
      <c r="K13" s="7">
        <f t="shared" si="6"/>
        <v>11.680200000000005</v>
      </c>
      <c r="L13" s="7">
        <f t="shared" si="6"/>
        <v>20.764800000000001</v>
      </c>
      <c r="M13" s="7">
        <f t="shared" si="6"/>
        <v>32.445</v>
      </c>
      <c r="N13" s="7">
        <f t="shared" si="6"/>
        <v>46.720799999999997</v>
      </c>
      <c r="O13" s="7">
        <f t="shared" si="6"/>
        <v>63.592199999999998</v>
      </c>
      <c r="P13" s="7">
        <f t="shared" si="6"/>
        <v>83.05919999999999</v>
      </c>
      <c r="Q13" s="7">
        <f t="shared" si="6"/>
        <v>105.12179999999998</v>
      </c>
      <c r="R13" s="7">
        <f t="shared" si="6"/>
        <v>129.77999999999994</v>
      </c>
      <c r="S13" s="7">
        <f t="shared" si="6"/>
        <v>157.03379999999996</v>
      </c>
      <c r="T13" s="7">
        <f t="shared" si="6"/>
        <v>186.88319999999999</v>
      </c>
      <c r="U13" s="7">
        <f t="shared" si="6"/>
        <v>219.32820000000001</v>
      </c>
      <c r="V13" s="7">
        <f t="shared" si="6"/>
        <v>254.36880000000008</v>
      </c>
      <c r="W13" s="7">
        <f t="shared" si="6"/>
        <v>292.00500000000011</v>
      </c>
      <c r="X13" s="7">
        <f t="shared" si="6"/>
        <v>332.23680000000013</v>
      </c>
      <c r="Y13" s="7">
        <f t="shared" si="6"/>
        <v>375.0642000000002</v>
      </c>
      <c r="Z13" s="7">
        <f t="shared" si="6"/>
        <v>420.4872000000002</v>
      </c>
      <c r="AA13" s="7">
        <f t="shared" si="6"/>
        <v>468.50580000000031</v>
      </c>
      <c r="AB13" s="7">
        <f t="shared" si="6"/>
        <v>519.12000000000023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C9A5-74C6-40F1-8B51-97BB0A88B95F}">
  <sheetPr codeName="Feuil2"/>
  <dimension ref="A2:J30"/>
  <sheetViews>
    <sheetView workbookViewId="0">
      <selection activeCell="F25" sqref="F25"/>
    </sheetView>
  </sheetViews>
  <sheetFormatPr baseColWidth="10" defaultRowHeight="15" x14ac:dyDescent="0.25"/>
  <cols>
    <col min="1" max="1" width="17.42578125" customWidth="1"/>
    <col min="8" max="8" width="23.42578125" customWidth="1"/>
  </cols>
  <sheetData>
    <row r="2" spans="1:10" x14ac:dyDescent="0.25">
      <c r="H2" t="str">
        <f>'Data envt'!A4</f>
        <v xml:space="preserve">Rho </v>
      </c>
      <c r="I2">
        <f>'Data envt'!B4</f>
        <v>1030</v>
      </c>
    </row>
    <row r="4" spans="1:10" x14ac:dyDescent="0.25">
      <c r="H4" t="str">
        <f>'Data envt'!A22</f>
        <v>CABLE</v>
      </c>
      <c r="I4">
        <f>'Data envt'!B22</f>
        <v>0</v>
      </c>
    </row>
    <row r="5" spans="1:10" x14ac:dyDescent="0.25">
      <c r="A5" t="s">
        <v>38</v>
      </c>
      <c r="B5">
        <v>0</v>
      </c>
      <c r="H5" t="str">
        <f>'Data envt'!A23</f>
        <v>Diamètre câble</v>
      </c>
      <c r="I5">
        <f>'Data envt'!B23</f>
        <v>1E-3</v>
      </c>
    </row>
    <row r="6" spans="1:10" x14ac:dyDescent="0.25">
      <c r="A6" t="s">
        <v>39</v>
      </c>
      <c r="B6">
        <v>0</v>
      </c>
      <c r="H6" t="str">
        <f>'Data envt'!A24</f>
        <v>Masse volumique</v>
      </c>
      <c r="I6">
        <f>'Data envt'!B24</f>
        <v>1030</v>
      </c>
    </row>
    <row r="7" spans="1:10" x14ac:dyDescent="0.25">
      <c r="A7" t="s">
        <v>41</v>
      </c>
      <c r="B7">
        <v>0</v>
      </c>
      <c r="H7" t="str">
        <f>'Data envt'!A25</f>
        <v>Poids linéique</v>
      </c>
      <c r="I7">
        <f>'Data envt'!B25</f>
        <v>7.9358986624168369E-3</v>
      </c>
    </row>
    <row r="8" spans="1:10" x14ac:dyDescent="0.25">
      <c r="A8" t="s">
        <v>40</v>
      </c>
      <c r="B8">
        <v>400</v>
      </c>
      <c r="H8" t="str">
        <f>'Data envt'!A26</f>
        <v>Poids apparent linéique</v>
      </c>
      <c r="I8">
        <f>'Data envt'!B26</f>
        <v>0</v>
      </c>
    </row>
    <row r="9" spans="1:10" x14ac:dyDescent="0.25">
      <c r="A9" t="s">
        <v>37</v>
      </c>
      <c r="B9">
        <f>SQRT(POWER(B7-B5,2)+POWER(B8-B6,2))</f>
        <v>400</v>
      </c>
      <c r="H9" t="str">
        <f>'Data envt'!A27</f>
        <v>Cx</v>
      </c>
      <c r="I9">
        <f>'Data envt'!B27</f>
        <v>0.9</v>
      </c>
    </row>
    <row r="10" spans="1:10" x14ac:dyDescent="0.25">
      <c r="A10" t="s">
        <v>42</v>
      </c>
      <c r="B10">
        <f>ASIN(B7/B9)</f>
        <v>0</v>
      </c>
      <c r="H10" t="str">
        <f>'Data envt'!A28</f>
        <v>Cf</v>
      </c>
      <c r="I10">
        <f>'Data envt'!B28</f>
        <v>0.04</v>
      </c>
    </row>
    <row r="11" spans="1:10" x14ac:dyDescent="0.25">
      <c r="H11">
        <f>'Data envt'!A29</f>
        <v>0</v>
      </c>
      <c r="I11">
        <f>'Data envt'!B29</f>
        <v>0</v>
      </c>
    </row>
    <row r="12" spans="1:10" x14ac:dyDescent="0.25">
      <c r="A12" t="s">
        <v>45</v>
      </c>
      <c r="B12">
        <f>SIN(B10)</f>
        <v>0</v>
      </c>
      <c r="C12" t="s">
        <v>43</v>
      </c>
      <c r="D12">
        <f>-COS(B10)</f>
        <v>-1</v>
      </c>
      <c r="E12" t="s">
        <v>44</v>
      </c>
      <c r="H12" t="str">
        <f>'Data envt'!A30</f>
        <v>Poids apparent 100 m</v>
      </c>
      <c r="I12">
        <f>'Data envt'!B30</f>
        <v>0</v>
      </c>
    </row>
    <row r="13" spans="1:10" x14ac:dyDescent="0.25">
      <c r="A13" t="s">
        <v>46</v>
      </c>
      <c r="B13">
        <f>COS(B10)</f>
        <v>1</v>
      </c>
      <c r="C13" t="s">
        <v>43</v>
      </c>
      <c r="D13">
        <f>SIN(B10)</f>
        <v>0</v>
      </c>
      <c r="E13" t="s">
        <v>44</v>
      </c>
    </row>
    <row r="14" spans="1:10" x14ac:dyDescent="0.25">
      <c r="H14" t="s">
        <v>49</v>
      </c>
      <c r="I14">
        <v>400</v>
      </c>
      <c r="J14" t="s">
        <v>8</v>
      </c>
    </row>
    <row r="15" spans="1:10" x14ac:dyDescent="0.25">
      <c r="A15" t="s">
        <v>43</v>
      </c>
      <c r="B15">
        <f>SIN(B10)</f>
        <v>0</v>
      </c>
      <c r="C15" t="s">
        <v>45</v>
      </c>
      <c r="D15">
        <f>-COS(B10)</f>
        <v>-1</v>
      </c>
      <c r="E15" t="s">
        <v>46</v>
      </c>
    </row>
    <row r="16" spans="1:10" x14ac:dyDescent="0.25">
      <c r="A16" t="s">
        <v>44</v>
      </c>
      <c r="B16">
        <f>COS(B10)</f>
        <v>1</v>
      </c>
      <c r="C16" t="s">
        <v>45</v>
      </c>
      <c r="D16">
        <f>SIN(B10)</f>
        <v>0</v>
      </c>
      <c r="E16" t="s">
        <v>46</v>
      </c>
    </row>
    <row r="18" spans="1:5" x14ac:dyDescent="0.25">
      <c r="A18" t="s">
        <v>47</v>
      </c>
      <c r="B18" s="13">
        <v>1</v>
      </c>
      <c r="C18" t="s">
        <v>43</v>
      </c>
      <c r="D18" s="13">
        <v>0</v>
      </c>
      <c r="E18" t="s">
        <v>44</v>
      </c>
    </row>
    <row r="19" spans="1:5" x14ac:dyDescent="0.25">
      <c r="B19">
        <f>B15*B18</f>
        <v>0</v>
      </c>
      <c r="C19" t="s">
        <v>45</v>
      </c>
      <c r="D19">
        <f>D15*B18</f>
        <v>-1</v>
      </c>
      <c r="E19" t="s">
        <v>46</v>
      </c>
    </row>
    <row r="21" spans="1:5" x14ac:dyDescent="0.25">
      <c r="A21" t="s">
        <v>48</v>
      </c>
      <c r="B21" s="13">
        <v>0</v>
      </c>
      <c r="C21" t="s">
        <v>45</v>
      </c>
      <c r="D21" s="13">
        <v>0</v>
      </c>
      <c r="E21" t="s">
        <v>46</v>
      </c>
    </row>
    <row r="23" spans="1:5" x14ac:dyDescent="0.25">
      <c r="A23" t="s">
        <v>51</v>
      </c>
      <c r="D23">
        <f>0.5*I9*I2*I5*D19*ABS(D19)*I14</f>
        <v>-185.4</v>
      </c>
      <c r="E23" t="s">
        <v>46</v>
      </c>
    </row>
    <row r="24" spans="1:5" x14ac:dyDescent="0.25">
      <c r="A24" t="s">
        <v>50</v>
      </c>
      <c r="B24">
        <f>0.5*I10*I2*PI()*I5*(B19+B21)*ABS(B19+B21)*I14</f>
        <v>0</v>
      </c>
      <c r="C24" t="s">
        <v>45</v>
      </c>
    </row>
    <row r="27" spans="1:5" x14ac:dyDescent="0.25">
      <c r="A27" t="s">
        <v>51</v>
      </c>
      <c r="B27">
        <f>D23*B13</f>
        <v>-185.4</v>
      </c>
      <c r="C27" t="s">
        <v>43</v>
      </c>
      <c r="D27">
        <f>D23*D13</f>
        <v>0</v>
      </c>
      <c r="E27" t="s">
        <v>44</v>
      </c>
    </row>
    <row r="28" spans="1:5" x14ac:dyDescent="0.25">
      <c r="A28" t="s">
        <v>50</v>
      </c>
      <c r="B28">
        <f>B24*B12</f>
        <v>0</v>
      </c>
      <c r="C28" t="s">
        <v>43</v>
      </c>
      <c r="D28">
        <f>B24*D12</f>
        <v>0</v>
      </c>
      <c r="E28" t="s">
        <v>44</v>
      </c>
    </row>
    <row r="30" spans="1:5" x14ac:dyDescent="0.25">
      <c r="A30" t="s">
        <v>52</v>
      </c>
      <c r="B30">
        <f>B27+B28</f>
        <v>-185.4</v>
      </c>
      <c r="D30">
        <f>D27+D28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E61F-21F6-4C96-A7AC-8B91979F7E41}">
  <sheetPr codeName="Feuil3"/>
  <dimension ref="B2:DA13"/>
  <sheetViews>
    <sheetView zoomScale="85" zoomScaleNormal="85" workbookViewId="0">
      <pane xSplit="5" topLeftCell="AC1" activePane="topRight" state="frozen"/>
      <selection pane="topRight" activeCell="AX7" sqref="AX7"/>
    </sheetView>
  </sheetViews>
  <sheetFormatPr baseColWidth="10" defaultRowHeight="15" x14ac:dyDescent="0.25"/>
  <cols>
    <col min="5" max="5" width="18.140625" customWidth="1"/>
  </cols>
  <sheetData>
    <row r="2" spans="2:105" x14ac:dyDescent="0.25">
      <c r="F2">
        <v>1</v>
      </c>
      <c r="G2">
        <f>F2+1</f>
        <v>2</v>
      </c>
      <c r="H2">
        <f t="shared" ref="H2:BH2" si="0">G2+1</f>
        <v>3</v>
      </c>
      <c r="I2">
        <f t="shared" si="0"/>
        <v>4</v>
      </c>
      <c r="J2">
        <f t="shared" si="0"/>
        <v>5</v>
      </c>
      <c r="K2">
        <f t="shared" si="0"/>
        <v>6</v>
      </c>
      <c r="L2">
        <f t="shared" si="0"/>
        <v>7</v>
      </c>
      <c r="M2">
        <f t="shared" si="0"/>
        <v>8</v>
      </c>
      <c r="N2">
        <f t="shared" si="0"/>
        <v>9</v>
      </c>
      <c r="O2">
        <f t="shared" si="0"/>
        <v>10</v>
      </c>
      <c r="P2">
        <f t="shared" si="0"/>
        <v>11</v>
      </c>
      <c r="Q2">
        <f t="shared" si="0"/>
        <v>12</v>
      </c>
      <c r="R2">
        <f t="shared" si="0"/>
        <v>13</v>
      </c>
      <c r="S2">
        <f t="shared" si="0"/>
        <v>14</v>
      </c>
      <c r="T2">
        <f t="shared" si="0"/>
        <v>15</v>
      </c>
      <c r="U2">
        <f t="shared" si="0"/>
        <v>16</v>
      </c>
      <c r="V2">
        <f t="shared" si="0"/>
        <v>17</v>
      </c>
      <c r="W2">
        <f t="shared" si="0"/>
        <v>18</v>
      </c>
      <c r="X2">
        <f t="shared" si="0"/>
        <v>19</v>
      </c>
      <c r="Y2">
        <f t="shared" si="0"/>
        <v>20</v>
      </c>
      <c r="Z2">
        <f t="shared" si="0"/>
        <v>21</v>
      </c>
      <c r="AA2">
        <f t="shared" si="0"/>
        <v>22</v>
      </c>
      <c r="AB2">
        <f t="shared" si="0"/>
        <v>23</v>
      </c>
      <c r="AC2">
        <f t="shared" si="0"/>
        <v>24</v>
      </c>
      <c r="AD2">
        <f t="shared" si="0"/>
        <v>25</v>
      </c>
      <c r="AE2">
        <f t="shared" si="0"/>
        <v>26</v>
      </c>
      <c r="AF2">
        <f t="shared" si="0"/>
        <v>27</v>
      </c>
      <c r="AG2">
        <f t="shared" si="0"/>
        <v>28</v>
      </c>
      <c r="AH2">
        <f t="shared" si="0"/>
        <v>29</v>
      </c>
      <c r="AI2">
        <f t="shared" si="0"/>
        <v>30</v>
      </c>
      <c r="AJ2">
        <f t="shared" si="0"/>
        <v>31</v>
      </c>
      <c r="AK2">
        <f t="shared" si="0"/>
        <v>32</v>
      </c>
      <c r="AL2">
        <f t="shared" si="0"/>
        <v>33</v>
      </c>
      <c r="AM2">
        <f t="shared" si="0"/>
        <v>34</v>
      </c>
      <c r="AN2">
        <f t="shared" si="0"/>
        <v>35</v>
      </c>
      <c r="AO2">
        <f t="shared" si="0"/>
        <v>36</v>
      </c>
      <c r="AP2">
        <f t="shared" si="0"/>
        <v>37</v>
      </c>
      <c r="AQ2">
        <f t="shared" si="0"/>
        <v>38</v>
      </c>
      <c r="AR2">
        <f t="shared" si="0"/>
        <v>39</v>
      </c>
      <c r="AS2">
        <f t="shared" si="0"/>
        <v>40</v>
      </c>
      <c r="AT2">
        <f t="shared" si="0"/>
        <v>41</v>
      </c>
      <c r="AU2">
        <f t="shared" si="0"/>
        <v>42</v>
      </c>
      <c r="AV2">
        <f t="shared" si="0"/>
        <v>43</v>
      </c>
      <c r="AW2">
        <f t="shared" si="0"/>
        <v>44</v>
      </c>
      <c r="AX2">
        <f t="shared" si="0"/>
        <v>45</v>
      </c>
      <c r="AY2">
        <f t="shared" si="0"/>
        <v>46</v>
      </c>
      <c r="AZ2">
        <f t="shared" si="0"/>
        <v>47</v>
      </c>
      <c r="BA2">
        <f t="shared" si="0"/>
        <v>48</v>
      </c>
      <c r="BB2">
        <f t="shared" si="0"/>
        <v>49</v>
      </c>
      <c r="BC2">
        <f t="shared" si="0"/>
        <v>50</v>
      </c>
      <c r="BD2">
        <f t="shared" si="0"/>
        <v>51</v>
      </c>
      <c r="BE2">
        <f t="shared" si="0"/>
        <v>52</v>
      </c>
      <c r="BF2">
        <f t="shared" si="0"/>
        <v>53</v>
      </c>
      <c r="BG2">
        <f t="shared" si="0"/>
        <v>54</v>
      </c>
      <c r="BH2">
        <f t="shared" si="0"/>
        <v>55</v>
      </c>
      <c r="BI2">
        <f t="shared" ref="BI2:BZ2" si="1">BH2+1</f>
        <v>56</v>
      </c>
      <c r="BJ2">
        <f t="shared" si="1"/>
        <v>57</v>
      </c>
      <c r="BK2">
        <f t="shared" si="1"/>
        <v>58</v>
      </c>
      <c r="BL2">
        <f t="shared" si="1"/>
        <v>59</v>
      </c>
      <c r="BM2">
        <f t="shared" si="1"/>
        <v>60</v>
      </c>
      <c r="BN2">
        <f t="shared" si="1"/>
        <v>61</v>
      </c>
      <c r="BO2">
        <f t="shared" si="1"/>
        <v>62</v>
      </c>
      <c r="BP2">
        <f t="shared" si="1"/>
        <v>63</v>
      </c>
      <c r="BQ2">
        <f t="shared" si="1"/>
        <v>64</v>
      </c>
      <c r="BR2">
        <f t="shared" si="1"/>
        <v>65</v>
      </c>
      <c r="BS2">
        <f t="shared" si="1"/>
        <v>66</v>
      </c>
      <c r="BT2">
        <f t="shared" si="1"/>
        <v>67</v>
      </c>
      <c r="BU2">
        <f t="shared" si="1"/>
        <v>68</v>
      </c>
      <c r="BV2">
        <f t="shared" si="1"/>
        <v>69</v>
      </c>
      <c r="BW2">
        <f t="shared" si="1"/>
        <v>70</v>
      </c>
      <c r="BX2">
        <f t="shared" si="1"/>
        <v>71</v>
      </c>
      <c r="BY2">
        <f t="shared" si="1"/>
        <v>72</v>
      </c>
      <c r="BZ2">
        <f t="shared" si="1"/>
        <v>73</v>
      </c>
      <c r="CA2">
        <f t="shared" ref="CA2:DA2" si="2">BZ2+1</f>
        <v>74</v>
      </c>
      <c r="CB2">
        <f t="shared" si="2"/>
        <v>75</v>
      </c>
      <c r="CC2">
        <f t="shared" si="2"/>
        <v>76</v>
      </c>
      <c r="CD2">
        <f t="shared" si="2"/>
        <v>77</v>
      </c>
      <c r="CE2">
        <f t="shared" si="2"/>
        <v>78</v>
      </c>
      <c r="CF2">
        <f t="shared" si="2"/>
        <v>79</v>
      </c>
      <c r="CG2">
        <f t="shared" si="2"/>
        <v>80</v>
      </c>
      <c r="CH2">
        <f t="shared" si="2"/>
        <v>81</v>
      </c>
      <c r="CI2">
        <f t="shared" si="2"/>
        <v>82</v>
      </c>
      <c r="CJ2">
        <f t="shared" si="2"/>
        <v>83</v>
      </c>
      <c r="CK2">
        <f t="shared" si="2"/>
        <v>84</v>
      </c>
      <c r="CL2">
        <f t="shared" si="2"/>
        <v>85</v>
      </c>
      <c r="CM2">
        <f t="shared" si="2"/>
        <v>86</v>
      </c>
      <c r="CN2">
        <f t="shared" si="2"/>
        <v>87</v>
      </c>
      <c r="CO2">
        <f t="shared" si="2"/>
        <v>88</v>
      </c>
      <c r="CP2">
        <f t="shared" si="2"/>
        <v>89</v>
      </c>
      <c r="CQ2">
        <f t="shared" si="2"/>
        <v>90</v>
      </c>
      <c r="CR2">
        <f t="shared" si="2"/>
        <v>91</v>
      </c>
      <c r="CS2">
        <f t="shared" si="2"/>
        <v>92</v>
      </c>
      <c r="CT2">
        <f t="shared" si="2"/>
        <v>93</v>
      </c>
      <c r="CU2">
        <f t="shared" si="2"/>
        <v>94</v>
      </c>
      <c r="CV2">
        <f t="shared" si="2"/>
        <v>95</v>
      </c>
      <c r="CW2">
        <f t="shared" si="2"/>
        <v>96</v>
      </c>
      <c r="CX2">
        <f t="shared" si="2"/>
        <v>97</v>
      </c>
      <c r="CY2">
        <f t="shared" si="2"/>
        <v>98</v>
      </c>
      <c r="CZ2">
        <f t="shared" si="2"/>
        <v>99</v>
      </c>
      <c r="DA2">
        <f t="shared" si="2"/>
        <v>100</v>
      </c>
    </row>
    <row r="3" spans="2:105" x14ac:dyDescent="0.25">
      <c r="B3" t="s">
        <v>53</v>
      </c>
      <c r="C3">
        <v>30</v>
      </c>
    </row>
    <row r="4" spans="2:105" x14ac:dyDescent="0.25">
      <c r="B4" t="s">
        <v>54</v>
      </c>
      <c r="C4">
        <v>400</v>
      </c>
      <c r="E4" t="s">
        <v>57</v>
      </c>
      <c r="F4">
        <v>0.01</v>
      </c>
      <c r="G4">
        <f>F4+0.2</f>
        <v>0.21000000000000002</v>
      </c>
      <c r="H4">
        <f t="shared" ref="H4:U4" si="3">G4+0.2</f>
        <v>0.41000000000000003</v>
      </c>
      <c r="I4">
        <f t="shared" si="3"/>
        <v>0.6100000000000001</v>
      </c>
      <c r="J4">
        <f t="shared" si="3"/>
        <v>0.81</v>
      </c>
      <c r="K4">
        <f t="shared" si="3"/>
        <v>1.01</v>
      </c>
      <c r="L4">
        <f t="shared" si="3"/>
        <v>1.21</v>
      </c>
      <c r="M4">
        <f t="shared" si="3"/>
        <v>1.41</v>
      </c>
      <c r="N4">
        <f t="shared" si="3"/>
        <v>1.6099999999999999</v>
      </c>
      <c r="O4">
        <f t="shared" si="3"/>
        <v>1.8099999999999998</v>
      </c>
      <c r="P4">
        <f t="shared" si="3"/>
        <v>2.0099999999999998</v>
      </c>
      <c r="Q4">
        <f t="shared" si="3"/>
        <v>2.21</v>
      </c>
      <c r="R4">
        <f t="shared" si="3"/>
        <v>2.41</v>
      </c>
      <c r="S4">
        <f t="shared" si="3"/>
        <v>2.6100000000000003</v>
      </c>
      <c r="T4">
        <f t="shared" si="3"/>
        <v>2.8100000000000005</v>
      </c>
      <c r="U4">
        <f t="shared" si="3"/>
        <v>3.0100000000000007</v>
      </c>
      <c r="V4">
        <f t="shared" ref="V4:AU4" si="4">U4+0.2</f>
        <v>3.2100000000000009</v>
      </c>
      <c r="W4">
        <f t="shared" si="4"/>
        <v>3.410000000000001</v>
      </c>
      <c r="X4">
        <f t="shared" si="4"/>
        <v>3.6100000000000012</v>
      </c>
      <c r="Y4">
        <f t="shared" si="4"/>
        <v>3.8100000000000014</v>
      </c>
      <c r="Z4">
        <f t="shared" si="4"/>
        <v>4.0100000000000016</v>
      </c>
      <c r="AA4">
        <f t="shared" si="4"/>
        <v>4.2100000000000017</v>
      </c>
      <c r="AB4">
        <f t="shared" si="4"/>
        <v>4.4100000000000019</v>
      </c>
      <c r="AC4">
        <f t="shared" si="4"/>
        <v>4.6100000000000021</v>
      </c>
      <c r="AD4">
        <f t="shared" si="4"/>
        <v>4.8100000000000023</v>
      </c>
      <c r="AE4">
        <f t="shared" si="4"/>
        <v>5.0100000000000025</v>
      </c>
      <c r="AF4">
        <f t="shared" si="4"/>
        <v>5.2100000000000026</v>
      </c>
      <c r="AG4">
        <f t="shared" si="4"/>
        <v>5.4100000000000028</v>
      </c>
      <c r="AH4">
        <f t="shared" si="4"/>
        <v>5.610000000000003</v>
      </c>
      <c r="AI4">
        <f t="shared" si="4"/>
        <v>5.8100000000000032</v>
      </c>
      <c r="AJ4">
        <f t="shared" si="4"/>
        <v>6.0100000000000033</v>
      </c>
      <c r="AK4">
        <f t="shared" si="4"/>
        <v>6.2100000000000035</v>
      </c>
      <c r="AL4">
        <f t="shared" si="4"/>
        <v>6.4100000000000037</v>
      </c>
      <c r="AM4">
        <f t="shared" si="4"/>
        <v>6.6100000000000039</v>
      </c>
      <c r="AN4">
        <f t="shared" si="4"/>
        <v>6.8100000000000041</v>
      </c>
      <c r="AO4">
        <f t="shared" si="4"/>
        <v>7.0100000000000042</v>
      </c>
      <c r="AP4">
        <f t="shared" si="4"/>
        <v>7.2100000000000044</v>
      </c>
      <c r="AQ4">
        <f t="shared" si="4"/>
        <v>7.4100000000000046</v>
      </c>
      <c r="AR4">
        <f t="shared" si="4"/>
        <v>7.6100000000000048</v>
      </c>
      <c r="AS4">
        <f t="shared" si="4"/>
        <v>7.8100000000000049</v>
      </c>
      <c r="AT4">
        <f t="shared" si="4"/>
        <v>8.0100000000000051</v>
      </c>
      <c r="AU4">
        <f t="shared" si="4"/>
        <v>8.2100000000000044</v>
      </c>
      <c r="AV4">
        <f t="shared" ref="AV4" si="5">AU4+0.2</f>
        <v>8.4100000000000037</v>
      </c>
      <c r="AW4">
        <f t="shared" ref="AW4" si="6">AV4+0.2</f>
        <v>8.610000000000003</v>
      </c>
      <c r="AX4">
        <f t="shared" ref="AX4" si="7">AW4+0.2</f>
        <v>8.8100000000000023</v>
      </c>
      <c r="AY4">
        <f t="shared" ref="AY4" si="8">AX4+0.2</f>
        <v>9.0100000000000016</v>
      </c>
      <c r="AZ4">
        <f t="shared" ref="AZ4" si="9">AY4+0.2</f>
        <v>9.2100000000000009</v>
      </c>
      <c r="BA4">
        <f t="shared" ref="BA4" si="10">AZ4+0.2</f>
        <v>9.41</v>
      </c>
      <c r="BB4">
        <f t="shared" ref="BB4" si="11">BA4+0.2</f>
        <v>9.61</v>
      </c>
      <c r="BC4">
        <f t="shared" ref="BC4" si="12">BB4+0.2</f>
        <v>9.8099999999999987</v>
      </c>
      <c r="BD4">
        <f t="shared" ref="BD4" si="13">BC4+0.2</f>
        <v>10.009999999999998</v>
      </c>
      <c r="BE4">
        <f t="shared" ref="BE4" si="14">BD4+0.2</f>
        <v>10.209999999999997</v>
      </c>
      <c r="BF4">
        <f t="shared" ref="BF4" si="15">BE4+0.2</f>
        <v>10.409999999999997</v>
      </c>
      <c r="BG4">
        <f t="shared" ref="BG4" si="16">BF4+0.2</f>
        <v>10.609999999999996</v>
      </c>
      <c r="BH4">
        <f t="shared" ref="BH4" si="17">BG4+0.2</f>
        <v>10.809999999999995</v>
      </c>
      <c r="BI4">
        <f t="shared" ref="BI4" si="18">BH4+0.2</f>
        <v>11.009999999999994</v>
      </c>
      <c r="BJ4">
        <f t="shared" ref="BJ4" si="19">BI4+0.2</f>
        <v>11.209999999999994</v>
      </c>
      <c r="BK4">
        <f t="shared" ref="BK4" si="20">BJ4+0.2</f>
        <v>11.409999999999993</v>
      </c>
      <c r="BL4">
        <f t="shared" ref="BL4" si="21">BK4+0.2</f>
        <v>11.609999999999992</v>
      </c>
      <c r="BM4">
        <f t="shared" ref="BM4" si="22">BL4+0.2</f>
        <v>11.809999999999992</v>
      </c>
      <c r="BN4">
        <f t="shared" ref="BN4" si="23">BM4+0.2</f>
        <v>12.009999999999991</v>
      </c>
      <c r="BO4">
        <f t="shared" ref="BO4" si="24">BN4+0.2</f>
        <v>12.20999999999999</v>
      </c>
      <c r="BP4">
        <f t="shared" ref="BP4" si="25">BO4+0.2</f>
        <v>12.409999999999989</v>
      </c>
      <c r="BQ4">
        <f t="shared" ref="BQ4" si="26">BP4+0.2</f>
        <v>12.609999999999989</v>
      </c>
      <c r="BR4">
        <f t="shared" ref="BR4" si="27">BQ4+0.2</f>
        <v>12.809999999999988</v>
      </c>
      <c r="BS4">
        <f t="shared" ref="BS4" si="28">BR4+0.2</f>
        <v>13.009999999999987</v>
      </c>
      <c r="BT4">
        <f t="shared" ref="BT4" si="29">BS4+0.2</f>
        <v>13.209999999999987</v>
      </c>
      <c r="BU4">
        <f t="shared" ref="BU4" si="30">BT4+0.2</f>
        <v>13.409999999999986</v>
      </c>
      <c r="BV4">
        <f t="shared" ref="BV4" si="31">BU4+0.2</f>
        <v>13.609999999999985</v>
      </c>
      <c r="BW4">
        <f t="shared" ref="BW4" si="32">BV4+0.2</f>
        <v>13.809999999999985</v>
      </c>
      <c r="BX4">
        <f t="shared" ref="BX4" si="33">BW4+0.2</f>
        <v>14.009999999999984</v>
      </c>
      <c r="BY4">
        <f t="shared" ref="BY4" si="34">BX4+0.2</f>
        <v>14.209999999999983</v>
      </c>
      <c r="BZ4">
        <f t="shared" ref="BZ4" si="35">BY4+0.2</f>
        <v>14.409999999999982</v>
      </c>
      <c r="CA4">
        <f t="shared" ref="CA4" si="36">BZ4+0.2</f>
        <v>14.609999999999982</v>
      </c>
      <c r="CB4">
        <f t="shared" ref="CB4" si="37">CA4+0.2</f>
        <v>14.809999999999981</v>
      </c>
      <c r="CC4">
        <f t="shared" ref="CC4" si="38">CB4+0.2</f>
        <v>15.00999999999998</v>
      </c>
      <c r="CD4">
        <f t="shared" ref="CD4" si="39">CC4+0.2</f>
        <v>15.20999999999998</v>
      </c>
      <c r="CE4">
        <f t="shared" ref="CE4" si="40">CD4+0.2</f>
        <v>15.409999999999979</v>
      </c>
      <c r="CF4">
        <f t="shared" ref="CF4" si="41">CE4+0.2</f>
        <v>15.609999999999978</v>
      </c>
      <c r="CG4">
        <f t="shared" ref="CG4" si="42">CF4+0.2</f>
        <v>15.809999999999977</v>
      </c>
      <c r="CH4">
        <f t="shared" ref="CH4" si="43">CG4+0.2</f>
        <v>16.009999999999977</v>
      </c>
      <c r="CI4">
        <f t="shared" ref="CI4" si="44">CH4+0.2</f>
        <v>16.209999999999976</v>
      </c>
      <c r="CJ4">
        <f t="shared" ref="CJ4" si="45">CI4+0.2</f>
        <v>16.409999999999975</v>
      </c>
      <c r="CK4">
        <f t="shared" ref="CK4" si="46">CJ4+0.2</f>
        <v>16.609999999999975</v>
      </c>
      <c r="CL4">
        <f t="shared" ref="CL4" si="47">CK4+0.2</f>
        <v>16.809999999999974</v>
      </c>
      <c r="CM4">
        <f t="shared" ref="CM4" si="48">CL4+0.2</f>
        <v>17.009999999999973</v>
      </c>
      <c r="CN4">
        <f t="shared" ref="CN4" si="49">CM4+0.2</f>
        <v>17.209999999999972</v>
      </c>
      <c r="CO4">
        <f t="shared" ref="CO4" si="50">CN4+0.2</f>
        <v>17.409999999999972</v>
      </c>
      <c r="CP4">
        <f t="shared" ref="CP4" si="51">CO4+0.2</f>
        <v>17.609999999999971</v>
      </c>
      <c r="CQ4">
        <f t="shared" ref="CQ4" si="52">CP4+0.2</f>
        <v>17.80999999999997</v>
      </c>
      <c r="CR4">
        <f t="shared" ref="CR4" si="53">CQ4+0.2</f>
        <v>18.00999999999997</v>
      </c>
      <c r="CS4">
        <f t="shared" ref="CS4" si="54">CR4+0.2</f>
        <v>18.209999999999969</v>
      </c>
      <c r="CT4">
        <f t="shared" ref="CT4" si="55">CS4+0.2</f>
        <v>18.409999999999968</v>
      </c>
      <c r="CU4">
        <f t="shared" ref="CU4" si="56">CT4+0.2</f>
        <v>18.609999999999967</v>
      </c>
      <c r="CV4">
        <f t="shared" ref="CV4" si="57">CU4+0.2</f>
        <v>18.809999999999967</v>
      </c>
      <c r="CW4">
        <f t="shared" ref="CW4" si="58">CV4+0.2</f>
        <v>19.009999999999966</v>
      </c>
      <c r="CX4">
        <f t="shared" ref="CX4" si="59">CW4+0.2</f>
        <v>19.209999999999965</v>
      </c>
      <c r="CY4">
        <f t="shared" ref="CY4" si="60">CX4+0.2</f>
        <v>19.409999999999965</v>
      </c>
      <c r="CZ4">
        <f t="shared" ref="CZ4" si="61">CY4+0.2</f>
        <v>19.609999999999964</v>
      </c>
      <c r="DA4">
        <f t="shared" ref="DA4" si="62">CZ4+0.2</f>
        <v>19.809999999999963</v>
      </c>
    </row>
    <row r="5" spans="2:105" x14ac:dyDescent="0.25">
      <c r="B5" t="s">
        <v>59</v>
      </c>
      <c r="C5">
        <v>420</v>
      </c>
      <c r="E5" t="s">
        <v>56</v>
      </c>
      <c r="F5">
        <f>$C$3-F4*ACOSH($C$4/F4 +1)</f>
        <v>29.887101930868127</v>
      </c>
      <c r="G5">
        <f t="shared" ref="G5:U5" si="63">$C$3-G4*ACOSH($C$4/G4 +1)</f>
        <v>28.268385303439786</v>
      </c>
      <c r="H5">
        <f t="shared" si="63"/>
        <v>26.893334035449541</v>
      </c>
      <c r="I5">
        <f t="shared" si="63"/>
        <v>25.619936901989742</v>
      </c>
      <c r="J5">
        <f t="shared" si="63"/>
        <v>24.413142700762798</v>
      </c>
      <c r="K5">
        <f t="shared" si="63"/>
        <v>23.25604655524824</v>
      </c>
      <c r="L5">
        <f t="shared" si="63"/>
        <v>22.138618471039486</v>
      </c>
      <c r="M5">
        <f t="shared" si="63"/>
        <v>21.054201786048189</v>
      </c>
      <c r="N5">
        <f t="shared" si="63"/>
        <v>19.998051371866246</v>
      </c>
      <c r="O5">
        <f t="shared" si="63"/>
        <v>18.966611769608896</v>
      </c>
      <c r="P5">
        <f t="shared" si="63"/>
        <v>17.957118822927626</v>
      </c>
      <c r="Q5">
        <f t="shared" si="63"/>
        <v>16.967361579027873</v>
      </c>
      <c r="R5">
        <f t="shared" si="63"/>
        <v>15.995531125379642</v>
      </c>
      <c r="S5">
        <f t="shared" si="63"/>
        <v>15.040119961154515</v>
      </c>
      <c r="T5">
        <f t="shared" si="63"/>
        <v>14.099852395478928</v>
      </c>
      <c r="U5">
        <f t="shared" si="63"/>
        <v>13.17363486076065</v>
      </c>
      <c r="V5">
        <f t="shared" ref="V5" si="64">$C$3-V4*ACOSH($C$4/V4 +1)</f>
        <v>12.260519488831218</v>
      </c>
      <c r="W5">
        <f t="shared" ref="W5" si="65">$C$3-W4*ACOSH($C$4/W4 +1)</f>
        <v>11.359676798759086</v>
      </c>
      <c r="X5">
        <f t="shared" ref="X5" si="66">$C$3-X4*ACOSH($C$4/X4 +1)</f>
        <v>10.470374813308158</v>
      </c>
      <c r="Y5">
        <f t="shared" ref="Y5" si="67">$C$3-Y4*ACOSH($C$4/Y4 +1)</f>
        <v>9.5919628168006952</v>
      </c>
      <c r="Z5">
        <f t="shared" ref="Z5" si="68">$C$3-Z4*ACOSH($C$4/Z4 +1)</f>
        <v>8.7238585322462576</v>
      </c>
      <c r="AA5">
        <f t="shared" ref="AA5" si="69">$C$3-AA4*ACOSH($C$4/AA4 +1)</f>
        <v>7.8655378625962591</v>
      </c>
      <c r="AB5">
        <f t="shared" ref="AB5" si="70">$C$3-AB4*ACOSH($C$4/AB4 +1)</f>
        <v>7.0165265854897285</v>
      </c>
      <c r="AC5">
        <f t="shared" ref="AC5" si="71">$C$3-AC4*ACOSH($C$4/AC4 +1)</f>
        <v>6.1763935574832338</v>
      </c>
      <c r="AD5">
        <f t="shared" ref="AD5" si="72">$C$3-AD4*ACOSH($C$4/AD4 +1)</f>
        <v>5.3447450996299573</v>
      </c>
      <c r="AE5">
        <f t="shared" ref="AE5" si="73">$C$3-AE4*ACOSH($C$4/AE4 +1)</f>
        <v>4.5212203183271633</v>
      </c>
      <c r="AF5">
        <f t="shared" ref="AF5" si="74">$C$3-AF4*ACOSH($C$4/AF4 +1)</f>
        <v>3.7054871744186357</v>
      </c>
      <c r="AG5">
        <f t="shared" ref="AG5" si="75">$C$3-AG4*ACOSH($C$4/AG4 +1)</f>
        <v>2.8972391566971503</v>
      </c>
      <c r="AH5">
        <f t="shared" ref="AH5" si="76">$C$3-AH4*ACOSH($C$4/AH4 +1)</f>
        <v>2.0961924479186713</v>
      </c>
      <c r="AI5">
        <f t="shared" ref="AI5" si="77">$C$3-AI4*ACOSH($C$4/AI4 +1)</f>
        <v>1.3020834954131537</v>
      </c>
      <c r="AJ5">
        <f t="shared" ref="AJ5" si="78">$C$3-AJ4*ACOSH($C$4/AJ4 +1)</f>
        <v>0.51466691656324315</v>
      </c>
      <c r="AK5">
        <f t="shared" ref="AK5" si="79">$C$3-AK4*ACOSH($C$4/AK4 +1)</f>
        <v>-0.26628631663531266</v>
      </c>
      <c r="AL5">
        <f t="shared" ref="AL5" si="80">$C$3-AL4*ACOSH($C$4/AL4 +1)</f>
        <v>-1.0409904589231012</v>
      </c>
      <c r="AM5">
        <f t="shared" ref="AM5" si="81">$C$3-AM4*ACOSH($C$4/AM4 +1)</f>
        <v>-1.8096463755947347</v>
      </c>
      <c r="AN5">
        <f t="shared" ref="AN5" si="82">$C$3-AN4*ACOSH($C$4/AN4 +1)</f>
        <v>-2.5724427586981236</v>
      </c>
      <c r="AO5">
        <f t="shared" ref="AO5" si="83">$C$3-AO4*ACOSH($C$4/AO4 +1)</f>
        <v>-3.3295572002520402</v>
      </c>
      <c r="AP5">
        <f t="shared" ref="AP5" si="84">$C$3-AP4*ACOSH($C$4/AP4 +1)</f>
        <v>-4.0811571428967284</v>
      </c>
      <c r="AQ5">
        <f t="shared" ref="AQ5" si="85">$C$3-AQ4*ACOSH($C$4/AQ4 +1)</f>
        <v>-4.8274007249911435</v>
      </c>
      <c r="AR5">
        <f t="shared" ref="AR5" si="86">$C$3-AR4*ACOSH($C$4/AR4 +1)</f>
        <v>-5.5684375344128512</v>
      </c>
      <c r="AS5">
        <f t="shared" ref="AS5" si="87">$C$3-AS4*ACOSH($C$4/AS4 +1)</f>
        <v>-6.3044092830663985</v>
      </c>
      <c r="AT5">
        <f t="shared" ref="AT5" si="88">$C$3-AT4*ACOSH($C$4/AT4 +1)</f>
        <v>-7.035450412259884</v>
      </c>
      <c r="AU5">
        <f t="shared" ref="AU5:BH5" si="89">$C$3-AU4*ACOSH($C$4/AU4 +1)</f>
        <v>-7.761688637586218</v>
      </c>
      <c r="AV5">
        <f t="shared" si="89"/>
        <v>-8.4832454406821824</v>
      </c>
      <c r="AW5">
        <f t="shared" si="89"/>
        <v>-9.2002365141856473</v>
      </c>
      <c r="AX5">
        <f t="shared" si="89"/>
        <v>-9.9127721653298551</v>
      </c>
      <c r="AY5">
        <f t="shared" si="89"/>
        <v>-10.620957682872323</v>
      </c>
      <c r="AZ5">
        <f t="shared" si="89"/>
        <v>-11.324893671429898</v>
      </c>
      <c r="BA5">
        <f t="shared" si="89"/>
        <v>-12.0246763567607</v>
      </c>
      <c r="BB5">
        <f t="shared" si="89"/>
        <v>-12.720397865081956</v>
      </c>
      <c r="BC5">
        <f t="shared" si="89"/>
        <v>-13.412146479126562</v>
      </c>
      <c r="BD5">
        <f t="shared" si="89"/>
        <v>-14.100006873310875</v>
      </c>
      <c r="BE5">
        <f t="shared" si="89"/>
        <v>-14.784060330101177</v>
      </c>
      <c r="BF5">
        <f t="shared" si="89"/>
        <v>-15.464384939421059</v>
      </c>
      <c r="BG5">
        <f t="shared" si="89"/>
        <v>-16.141055782729573</v>
      </c>
      <c r="BH5">
        <f t="shared" si="89"/>
        <v>-16.814145103215409</v>
      </c>
      <c r="BI5">
        <f t="shared" ref="BI5:BZ5" si="90">$C$3-BI4*ACOSH($C$4/BI4 +1)</f>
        <v>-17.483722463391864</v>
      </c>
      <c r="BJ5">
        <f t="shared" si="90"/>
        <v>-18.149854891237489</v>
      </c>
      <c r="BK5">
        <f t="shared" si="90"/>
        <v>-18.812607015904412</v>
      </c>
      <c r="BL5">
        <f t="shared" si="90"/>
        <v>-19.472041193909064</v>
      </c>
      <c r="BM5">
        <f t="shared" si="90"/>
        <v>-20.12821762662518</v>
      </c>
      <c r="BN5">
        <f t="shared" si="90"/>
        <v>-20.781194469815993</v>
      </c>
      <c r="BO5">
        <f t="shared" si="90"/>
        <v>-21.431027935868407</v>
      </c>
      <c r="BP5">
        <f t="shared" si="90"/>
        <v>-22.077772389327279</v>
      </c>
      <c r="BQ5">
        <f t="shared" si="90"/>
        <v>-22.721480436269566</v>
      </c>
      <c r="BR5">
        <f t="shared" si="90"/>
        <v>-23.362203008007263</v>
      </c>
      <c r="BS5">
        <f t="shared" si="90"/>
        <v>-23.999989439561702</v>
      </c>
      <c r="BT5">
        <f t="shared" si="90"/>
        <v>-24.634887543311429</v>
      </c>
      <c r="BU5">
        <f t="shared" si="90"/>
        <v>-25.266943678178905</v>
      </c>
      <c r="BV5">
        <f t="shared" si="90"/>
        <v>-25.896202814688891</v>
      </c>
      <c r="BW5">
        <f t="shared" si="90"/>
        <v>-26.52270859620203</v>
      </c>
      <c r="BX5">
        <f t="shared" si="90"/>
        <v>-27.146503396600323</v>
      </c>
      <c r="BY5">
        <f t="shared" si="90"/>
        <v>-27.767628374678161</v>
      </c>
      <c r="BZ5">
        <f t="shared" si="90"/>
        <v>-28.386123525470552</v>
      </c>
      <c r="CA5">
        <f t="shared" ref="CA5:DA5" si="91">$C$3-CA4*ACOSH($C$4/CA4 +1)</f>
        <v>-29.002027728731299</v>
      </c>
      <c r="CB5">
        <f t="shared" si="91"/>
        <v>-29.615378794756083</v>
      </c>
      <c r="CC5">
        <f t="shared" si="91"/>
        <v>-30.226213507729931</v>
      </c>
      <c r="CD5">
        <f t="shared" si="91"/>
        <v>-30.834567666763903</v>
      </c>
      <c r="CE5">
        <f t="shared" si="91"/>
        <v>-31.440476124772985</v>
      </c>
      <c r="CF5">
        <f t="shared" si="91"/>
        <v>-32.043972825335345</v>
      </c>
      <c r="CG5">
        <f t="shared" si="91"/>
        <v>-32.645090837662259</v>
      </c>
      <c r="CH5">
        <f t="shared" si="91"/>
        <v>-33.243862389798196</v>
      </c>
      <c r="CI5">
        <f t="shared" si="91"/>
        <v>-33.840318900161677</v>
      </c>
      <c r="CJ5">
        <f t="shared" si="91"/>
        <v>-34.434491007529303</v>
      </c>
      <c r="CK5">
        <f t="shared" si="91"/>
        <v>-35.026408599557712</v>
      </c>
      <c r="CL5">
        <f t="shared" si="91"/>
        <v>-35.616100839931704</v>
      </c>
      <c r="CM5">
        <f t="shared" si="91"/>
        <v>-36.20359619422004</v>
      </c>
      <c r="CN5">
        <f t="shared" si="91"/>
        <v>-36.788922454515145</v>
      </c>
      <c r="CO5">
        <f t="shared" si="91"/>
        <v>-37.372106762927146</v>
      </c>
      <c r="CP5">
        <f t="shared" si="91"/>
        <v>-37.9531756339982</v>
      </c>
      <c r="CQ5">
        <f t="shared" si="91"/>
        <v>-38.532154976098539</v>
      </c>
      <c r="CR5">
        <f t="shared" si="91"/>
        <v>-39.109070111861072</v>
      </c>
      <c r="CS5">
        <f t="shared" si="91"/>
        <v>-39.683945797708276</v>
      </c>
      <c r="CT5">
        <f t="shared" si="91"/>
        <v>-40.256806242521151</v>
      </c>
      <c r="CU5">
        <f t="shared" si="91"/>
        <v>-40.827675125496597</v>
      </c>
      <c r="CV5">
        <f t="shared" si="91"/>
        <v>-41.396575613237232</v>
      </c>
      <c r="CW5">
        <f t="shared" si="91"/>
        <v>-41.963530376114164</v>
      </c>
      <c r="CX5">
        <f t="shared" si="91"/>
        <v>-42.528561603941043</v>
      </c>
      <c r="CY5">
        <f t="shared" si="91"/>
        <v>-43.091691020995313</v>
      </c>
      <c r="CZ5">
        <f t="shared" si="91"/>
        <v>-43.652939900420208</v>
      </c>
      <c r="DA5">
        <f t="shared" si="91"/>
        <v>-44.212329078039176</v>
      </c>
    </row>
    <row r="6" spans="2:105" x14ac:dyDescent="0.25">
      <c r="B6" t="s">
        <v>55</v>
      </c>
      <c r="C6" s="14">
        <f>SQRT(C3*C3 + C4*C4)</f>
        <v>401.1234224026316</v>
      </c>
      <c r="E6" t="s">
        <v>65</v>
      </c>
      <c r="F6">
        <f>F4*SINH(($C$3-F5)/F4)</f>
        <v>400.00999987501274</v>
      </c>
      <c r="G6">
        <f t="shared" ref="G6:BR6" si="92">G4*SINH(($C$3-G5)/G4)</f>
        <v>400.20994490392331</v>
      </c>
      <c r="H6">
        <f t="shared" si="92"/>
        <v>400.4097900901038</v>
      </c>
      <c r="I6">
        <f t="shared" si="92"/>
        <v>400.6095355829662</v>
      </c>
      <c r="J6">
        <f t="shared" si="92"/>
        <v>400.80918153156199</v>
      </c>
      <c r="K6">
        <f t="shared" si="92"/>
        <v>401.0087280845645</v>
      </c>
      <c r="L6">
        <f t="shared" si="92"/>
        <v>401.2081753902828</v>
      </c>
      <c r="M6">
        <f t="shared" si="92"/>
        <v>401.40752359665584</v>
      </c>
      <c r="N6">
        <f t="shared" si="92"/>
        <v>401.6067728512557</v>
      </c>
      <c r="O6">
        <f t="shared" si="92"/>
        <v>401.80592330128798</v>
      </c>
      <c r="P6">
        <f t="shared" si="92"/>
        <v>402.00497509359212</v>
      </c>
      <c r="Q6">
        <f t="shared" si="92"/>
        <v>402.20392837464971</v>
      </c>
      <c r="R6">
        <f t="shared" si="92"/>
        <v>402.4027832905731</v>
      </c>
      <c r="S6">
        <f t="shared" si="92"/>
        <v>402.60153998711922</v>
      </c>
      <c r="T6">
        <f t="shared" si="92"/>
        <v>402.80019860968275</v>
      </c>
      <c r="U6">
        <f t="shared" si="92"/>
        <v>402.99875930330086</v>
      </c>
      <c r="V6">
        <f t="shared" si="92"/>
        <v>403.19722221265368</v>
      </c>
      <c r="W6">
        <f t="shared" si="92"/>
        <v>403.39558748206468</v>
      </c>
      <c r="X6">
        <f t="shared" si="92"/>
        <v>403.59385525550329</v>
      </c>
      <c r="Y6">
        <f t="shared" si="92"/>
        <v>403.79202567658541</v>
      </c>
      <c r="Z6">
        <f t="shared" si="92"/>
        <v>403.99009888857438</v>
      </c>
      <c r="AA6">
        <f t="shared" si="92"/>
        <v>404.18807503438296</v>
      </c>
      <c r="AB6">
        <f t="shared" si="92"/>
        <v>404.38595425657388</v>
      </c>
      <c r="AC6">
        <f t="shared" si="92"/>
        <v>404.58373669736153</v>
      </c>
      <c r="AD6">
        <f t="shared" si="92"/>
        <v>404.78142249861207</v>
      </c>
      <c r="AE6">
        <f t="shared" si="92"/>
        <v>404.9790118018463</v>
      </c>
      <c r="AF6">
        <f t="shared" si="92"/>
        <v>405.1765047482391</v>
      </c>
      <c r="AG6">
        <f t="shared" si="92"/>
        <v>405.37390147862271</v>
      </c>
      <c r="AH6">
        <f t="shared" si="92"/>
        <v>405.57120213348497</v>
      </c>
      <c r="AI6">
        <f t="shared" si="92"/>
        <v>405.76840685297316</v>
      </c>
      <c r="AJ6">
        <f t="shared" si="92"/>
        <v>405.96551577689445</v>
      </c>
      <c r="AK6">
        <f t="shared" si="92"/>
        <v>406.16252904471634</v>
      </c>
      <c r="AL6">
        <f t="shared" si="92"/>
        <v>406.35944679556786</v>
      </c>
      <c r="AM6">
        <f t="shared" si="92"/>
        <v>406.55626916824207</v>
      </c>
      <c r="AN6">
        <f t="shared" si="92"/>
        <v>406.7529963011952</v>
      </c>
      <c r="AO6">
        <f t="shared" si="92"/>
        <v>406.94962833254925</v>
      </c>
      <c r="AP6">
        <f t="shared" si="92"/>
        <v>407.14616540009314</v>
      </c>
      <c r="AQ6">
        <f t="shared" si="92"/>
        <v>407.34260764128265</v>
      </c>
      <c r="AR6">
        <f t="shared" si="92"/>
        <v>407.53895519324277</v>
      </c>
      <c r="AS6">
        <f t="shared" si="92"/>
        <v>407.73520819276803</v>
      </c>
      <c r="AT6">
        <f t="shared" si="92"/>
        <v>407.93136677632424</v>
      </c>
      <c r="AU6">
        <f t="shared" si="92"/>
        <v>408.12743108004884</v>
      </c>
      <c r="AV6">
        <f t="shared" si="92"/>
        <v>408.32340123975268</v>
      </c>
      <c r="AW6">
        <f t="shared" si="92"/>
        <v>408.51927739092071</v>
      </c>
      <c r="AX6">
        <f t="shared" si="92"/>
        <v>408.71505966871342</v>
      </c>
      <c r="AY6">
        <f t="shared" si="92"/>
        <v>408.91074820796786</v>
      </c>
      <c r="AZ6">
        <f t="shared" si="92"/>
        <v>409.10634314319788</v>
      </c>
      <c r="BA6">
        <f t="shared" si="92"/>
        <v>409.30184460859664</v>
      </c>
      <c r="BB6">
        <f t="shared" si="92"/>
        <v>409.49725273803728</v>
      </c>
      <c r="BC6">
        <f t="shared" si="92"/>
        <v>409.6925676650726</v>
      </c>
      <c r="BD6">
        <f t="shared" si="92"/>
        <v>409.88778952293757</v>
      </c>
      <c r="BE6">
        <f t="shared" si="92"/>
        <v>410.08291844455073</v>
      </c>
      <c r="BF6">
        <f t="shared" si="92"/>
        <v>410.27795456251386</v>
      </c>
      <c r="BG6">
        <f t="shared" si="92"/>
        <v>410.47289800911341</v>
      </c>
      <c r="BH6">
        <f t="shared" si="92"/>
        <v>410.66774891632281</v>
      </c>
      <c r="BI6">
        <f t="shared" si="92"/>
        <v>410.86250741580193</v>
      </c>
      <c r="BJ6">
        <f t="shared" si="92"/>
        <v>411.05717363889909</v>
      </c>
      <c r="BK6">
        <f t="shared" si="92"/>
        <v>411.25174771665098</v>
      </c>
      <c r="BL6">
        <f t="shared" si="92"/>
        <v>411.44622977978548</v>
      </c>
      <c r="BM6">
        <f t="shared" si="92"/>
        <v>411.64061995872061</v>
      </c>
      <c r="BN6">
        <f t="shared" si="92"/>
        <v>411.83491838356781</v>
      </c>
      <c r="BO6">
        <f t="shared" si="92"/>
        <v>412.02912518413052</v>
      </c>
      <c r="BP6">
        <f t="shared" si="92"/>
        <v>412.22324048990731</v>
      </c>
      <c r="BQ6">
        <f t="shared" si="92"/>
        <v>412.41726443009151</v>
      </c>
      <c r="BR6">
        <f t="shared" si="92"/>
        <v>412.61119713357294</v>
      </c>
      <c r="BS6">
        <f t="shared" ref="BS6:DA6" si="93">BS4*SINH(($C$3-BS5)/BS4)</f>
        <v>412.80503872893803</v>
      </c>
      <c r="BT6">
        <f t="shared" si="93"/>
        <v>412.99878934447241</v>
      </c>
      <c r="BU6">
        <f t="shared" si="93"/>
        <v>413.19244910816087</v>
      </c>
      <c r="BV6">
        <f t="shared" si="93"/>
        <v>413.3860181476872</v>
      </c>
      <c r="BW6">
        <f t="shared" si="93"/>
        <v>413.57949659043783</v>
      </c>
      <c r="BX6">
        <f t="shared" si="93"/>
        <v>413.77288456350055</v>
      </c>
      <c r="BY6">
        <f t="shared" si="93"/>
        <v>413.96618219366655</v>
      </c>
      <c r="BZ6">
        <f t="shared" si="93"/>
        <v>414.15938960743108</v>
      </c>
      <c r="CA6">
        <f t="shared" si="93"/>
        <v>414.35250693099482</v>
      </c>
      <c r="CB6">
        <f t="shared" si="93"/>
        <v>414.54553429026333</v>
      </c>
      <c r="CC6">
        <f t="shared" si="93"/>
        <v>414.73847181085091</v>
      </c>
      <c r="CD6">
        <f t="shared" si="93"/>
        <v>414.93131961807848</v>
      </c>
      <c r="CE6">
        <f t="shared" si="93"/>
        <v>415.12407783697631</v>
      </c>
      <c r="CF6">
        <f t="shared" si="93"/>
        <v>415.31674659228457</v>
      </c>
      <c r="CG6">
        <f t="shared" si="93"/>
        <v>415.50932600845425</v>
      </c>
      <c r="CH6">
        <f t="shared" si="93"/>
        <v>415.70181620964797</v>
      </c>
      <c r="CI6">
        <f t="shared" si="93"/>
        <v>415.89421731974096</v>
      </c>
      <c r="CJ6">
        <f t="shared" si="93"/>
        <v>416.08652946232235</v>
      </c>
      <c r="CK6">
        <f t="shared" si="93"/>
        <v>416.27875276069517</v>
      </c>
      <c r="CL6">
        <f t="shared" si="93"/>
        <v>416.47088733787876</v>
      </c>
      <c r="CM6">
        <f t="shared" si="93"/>
        <v>416.66293331660773</v>
      </c>
      <c r="CN6">
        <f t="shared" si="93"/>
        <v>416.85489081933525</v>
      </c>
      <c r="CO6">
        <f t="shared" si="93"/>
        <v>417.0467599682321</v>
      </c>
      <c r="CP6">
        <f t="shared" si="93"/>
        <v>417.23854088518704</v>
      </c>
      <c r="CQ6">
        <f t="shared" si="93"/>
        <v>417.430233691811</v>
      </c>
      <c r="CR6">
        <f t="shared" si="93"/>
        <v>417.62183850943438</v>
      </c>
      <c r="CS6">
        <f t="shared" si="93"/>
        <v>417.81335545910895</v>
      </c>
      <c r="CT6">
        <f t="shared" si="93"/>
        <v>418.00478466161121</v>
      </c>
      <c r="CU6">
        <f t="shared" si="93"/>
        <v>418.19612623743899</v>
      </c>
      <c r="CV6">
        <f t="shared" si="93"/>
        <v>418.38738030681566</v>
      </c>
      <c r="CW6">
        <f t="shared" si="93"/>
        <v>418.57854698968993</v>
      </c>
      <c r="CX6">
        <f t="shared" si="93"/>
        <v>418.76962640573623</v>
      </c>
      <c r="CY6">
        <f t="shared" si="93"/>
        <v>418.96061867435685</v>
      </c>
      <c r="CZ6">
        <f t="shared" si="93"/>
        <v>419.15152391468149</v>
      </c>
      <c r="DA6">
        <f t="shared" si="93"/>
        <v>419.34234224556928</v>
      </c>
    </row>
    <row r="7" spans="2:105" x14ac:dyDescent="0.25">
      <c r="E7" t="s">
        <v>58</v>
      </c>
      <c r="F7">
        <f>F5+F6</f>
        <v>429.89710180588088</v>
      </c>
      <c r="G7">
        <f t="shared" ref="G7:AU7" si="94">G5+G6</f>
        <v>428.47833020736311</v>
      </c>
      <c r="H7">
        <f t="shared" si="94"/>
        <v>427.30312412555332</v>
      </c>
      <c r="I7">
        <f t="shared" si="94"/>
        <v>426.22947248495592</v>
      </c>
      <c r="J7">
        <f t="shared" si="94"/>
        <v>425.22232423232481</v>
      </c>
      <c r="K7">
        <f t="shared" si="94"/>
        <v>424.26477463981274</v>
      </c>
      <c r="L7">
        <f>L5+L6</f>
        <v>423.34679386132228</v>
      </c>
      <c r="M7">
        <f t="shared" si="94"/>
        <v>422.461725382704</v>
      </c>
      <c r="N7">
        <f t="shared" si="94"/>
        <v>421.60482422312197</v>
      </c>
      <c r="O7">
        <f t="shared" si="94"/>
        <v>420.77253507089688</v>
      </c>
      <c r="P7">
        <f t="shared" si="94"/>
        <v>419.96209391651973</v>
      </c>
      <c r="Q7">
        <f t="shared" si="94"/>
        <v>419.17128995367756</v>
      </c>
      <c r="R7">
        <f t="shared" si="94"/>
        <v>418.39831441595277</v>
      </c>
      <c r="S7">
        <f t="shared" si="94"/>
        <v>417.64165994827374</v>
      </c>
      <c r="T7">
        <f t="shared" si="94"/>
        <v>416.90005100516169</v>
      </c>
      <c r="U7">
        <f t="shared" si="94"/>
        <v>416.17239416406153</v>
      </c>
      <c r="V7">
        <f t="shared" si="94"/>
        <v>415.45774170148491</v>
      </c>
      <c r="W7">
        <f t="shared" si="94"/>
        <v>414.75526428082378</v>
      </c>
      <c r="X7">
        <f t="shared" si="94"/>
        <v>414.06423006881147</v>
      </c>
      <c r="Y7">
        <f t="shared" si="94"/>
        <v>413.38398849338608</v>
      </c>
      <c r="Z7">
        <f t="shared" si="94"/>
        <v>412.71395742082063</v>
      </c>
      <c r="AA7">
        <f t="shared" si="94"/>
        <v>412.05361289697925</v>
      </c>
      <c r="AB7">
        <f t="shared" si="94"/>
        <v>411.4024808420636</v>
      </c>
      <c r="AC7">
        <f t="shared" si="94"/>
        <v>410.76013025484474</v>
      </c>
      <c r="AD7">
        <f t="shared" si="94"/>
        <v>410.12616759824203</v>
      </c>
      <c r="AE7">
        <f t="shared" si="94"/>
        <v>409.50023212017345</v>
      </c>
      <c r="AF7">
        <f t="shared" si="94"/>
        <v>408.88199192265773</v>
      </c>
      <c r="AG7">
        <f t="shared" si="94"/>
        <v>408.27114063531985</v>
      </c>
      <c r="AH7">
        <f t="shared" si="94"/>
        <v>407.66739458140364</v>
      </c>
      <c r="AI7">
        <f t="shared" si="94"/>
        <v>407.07049034838633</v>
      </c>
      <c r="AJ7">
        <f t="shared" si="94"/>
        <v>406.48018269345766</v>
      </c>
      <c r="AK7">
        <f t="shared" si="94"/>
        <v>405.89624272808101</v>
      </c>
      <c r="AL7">
        <f t="shared" si="94"/>
        <v>405.31845633664477</v>
      </c>
      <c r="AM7">
        <f t="shared" si="94"/>
        <v>404.74662279264732</v>
      </c>
      <c r="AN7">
        <f t="shared" si="94"/>
        <v>404.18055354249708</v>
      </c>
      <c r="AO7">
        <f t="shared" si="94"/>
        <v>403.6200711322972</v>
      </c>
      <c r="AP7">
        <f t="shared" si="94"/>
        <v>403.06500825719638</v>
      </c>
      <c r="AQ7">
        <f t="shared" si="94"/>
        <v>402.5152069162915</v>
      </c>
      <c r="AR7">
        <f t="shared" si="94"/>
        <v>401.97051765882992</v>
      </c>
      <c r="AS7">
        <f t="shared" si="94"/>
        <v>401.43079890970165</v>
      </c>
      <c r="AT7">
        <f t="shared" si="94"/>
        <v>400.89591636406436</v>
      </c>
      <c r="AU7">
        <f t="shared" si="94"/>
        <v>400.36574244246265</v>
      </c>
      <c r="AV7">
        <f t="shared" ref="AV7:BH7" si="95">AV5+AV6</f>
        <v>399.84015579907049</v>
      </c>
      <c r="AW7">
        <f t="shared" si="95"/>
        <v>399.31904087673507</v>
      </c>
      <c r="AX7">
        <f t="shared" si="95"/>
        <v>398.80228750338358</v>
      </c>
      <c r="AY7">
        <f t="shared" si="95"/>
        <v>398.28979052509555</v>
      </c>
      <c r="AZ7">
        <f t="shared" si="95"/>
        <v>397.78144947176798</v>
      </c>
      <c r="BA7">
        <f t="shared" si="95"/>
        <v>397.27716825183592</v>
      </c>
      <c r="BB7">
        <f t="shared" si="95"/>
        <v>396.77685487295531</v>
      </c>
      <c r="BC7">
        <f t="shared" si="95"/>
        <v>396.28042118594601</v>
      </c>
      <c r="BD7">
        <f t="shared" si="95"/>
        <v>395.78778264962671</v>
      </c>
      <c r="BE7">
        <f t="shared" si="95"/>
        <v>395.29885811444956</v>
      </c>
      <c r="BF7">
        <f t="shared" si="95"/>
        <v>394.8135696230928</v>
      </c>
      <c r="BG7">
        <f t="shared" si="95"/>
        <v>394.33184222638386</v>
      </c>
      <c r="BH7">
        <f t="shared" si="95"/>
        <v>393.85360381310738</v>
      </c>
      <c r="BI7">
        <f t="shared" ref="BI7:BZ7" si="96">BI5+BI6</f>
        <v>393.37878495241006</v>
      </c>
      <c r="BJ7">
        <f t="shared" si="96"/>
        <v>392.90731874766158</v>
      </c>
      <c r="BK7">
        <f t="shared" si="96"/>
        <v>392.43914070074658</v>
      </c>
      <c r="BL7">
        <f t="shared" si="96"/>
        <v>391.97418858587639</v>
      </c>
      <c r="BM7">
        <f t="shared" si="96"/>
        <v>391.51240233209541</v>
      </c>
      <c r="BN7">
        <f t="shared" si="96"/>
        <v>391.05372391375181</v>
      </c>
      <c r="BO7">
        <f t="shared" si="96"/>
        <v>390.59809724826209</v>
      </c>
      <c r="BP7">
        <f t="shared" si="96"/>
        <v>390.14546810058005</v>
      </c>
      <c r="BQ7">
        <f t="shared" si="96"/>
        <v>389.69578399382192</v>
      </c>
      <c r="BR7">
        <f t="shared" si="96"/>
        <v>389.24899412556567</v>
      </c>
      <c r="BS7">
        <f t="shared" si="96"/>
        <v>388.80504928937631</v>
      </c>
      <c r="BT7">
        <f t="shared" si="96"/>
        <v>388.36390180116098</v>
      </c>
      <c r="BU7">
        <f t="shared" si="96"/>
        <v>387.92550542998197</v>
      </c>
      <c r="BV7">
        <f t="shared" si="96"/>
        <v>387.48981533299832</v>
      </c>
      <c r="BW7">
        <f t="shared" si="96"/>
        <v>387.05678799423578</v>
      </c>
      <c r="BX7">
        <f t="shared" si="96"/>
        <v>386.62638116690022</v>
      </c>
      <c r="BY7">
        <f t="shared" si="96"/>
        <v>386.19855381898839</v>
      </c>
      <c r="BZ7">
        <f t="shared" si="96"/>
        <v>385.77326608196051</v>
      </c>
      <c r="CA7">
        <f t="shared" ref="CA7:DA7" si="97">CA5+CA6</f>
        <v>385.3504792022635</v>
      </c>
      <c r="CB7">
        <f t="shared" si="97"/>
        <v>384.93015549550728</v>
      </c>
      <c r="CC7">
        <f t="shared" si="97"/>
        <v>384.51225830312097</v>
      </c>
      <c r="CD7">
        <f t="shared" si="97"/>
        <v>384.09675195131456</v>
      </c>
      <c r="CE7">
        <f t="shared" si="97"/>
        <v>383.68360171220331</v>
      </c>
      <c r="CF7">
        <f t="shared" si="97"/>
        <v>383.27277376694923</v>
      </c>
      <c r="CG7">
        <f t="shared" si="97"/>
        <v>382.86423517079197</v>
      </c>
      <c r="CH7">
        <f t="shared" si="97"/>
        <v>382.45795381984976</v>
      </c>
      <c r="CI7">
        <f t="shared" si="97"/>
        <v>382.0538984195793</v>
      </c>
      <c r="CJ7">
        <f t="shared" si="97"/>
        <v>381.65203845479306</v>
      </c>
      <c r="CK7">
        <f t="shared" si="97"/>
        <v>381.25234416113744</v>
      </c>
      <c r="CL7">
        <f t="shared" si="97"/>
        <v>380.85478649794709</v>
      </c>
      <c r="CM7">
        <f t="shared" si="97"/>
        <v>380.45933712238769</v>
      </c>
      <c r="CN7">
        <f t="shared" si="97"/>
        <v>380.06596836482009</v>
      </c>
      <c r="CO7">
        <f t="shared" si="97"/>
        <v>379.67465320530493</v>
      </c>
      <c r="CP7">
        <f t="shared" si="97"/>
        <v>379.28536525118886</v>
      </c>
      <c r="CQ7">
        <f t="shared" si="97"/>
        <v>378.89807871571247</v>
      </c>
      <c r="CR7">
        <f t="shared" si="97"/>
        <v>378.51276839757332</v>
      </c>
      <c r="CS7">
        <f t="shared" si="97"/>
        <v>378.1294096614007</v>
      </c>
      <c r="CT7">
        <f t="shared" si="97"/>
        <v>377.74797841909003</v>
      </c>
      <c r="CU7">
        <f t="shared" si="97"/>
        <v>377.36845111194236</v>
      </c>
      <c r="CV7">
        <f t="shared" si="97"/>
        <v>376.99080469357841</v>
      </c>
      <c r="CW7">
        <f t="shared" si="97"/>
        <v>376.61501661357579</v>
      </c>
      <c r="CX7">
        <f t="shared" si="97"/>
        <v>376.24106480179518</v>
      </c>
      <c r="CY7">
        <f t="shared" si="97"/>
        <v>375.86892765336154</v>
      </c>
      <c r="CZ7">
        <f t="shared" si="97"/>
        <v>375.49858401426127</v>
      </c>
      <c r="DA7">
        <f t="shared" si="97"/>
        <v>375.13001316753014</v>
      </c>
    </row>
    <row r="8" spans="2:105" x14ac:dyDescent="0.25">
      <c r="E8" t="s">
        <v>60</v>
      </c>
      <c r="F8">
        <f>ABS(F7-$C$5)</f>
        <v>9.8971018058808795</v>
      </c>
      <c r="G8">
        <f t="shared" ref="G8:AU8" si="98">ABS(G7-$C$5)</f>
        <v>8.4783302073631148</v>
      </c>
      <c r="H8">
        <f t="shared" si="98"/>
        <v>7.3031241255533246</v>
      </c>
      <c r="I8">
        <f t="shared" si="98"/>
        <v>6.2294724849559202</v>
      </c>
      <c r="J8">
        <f t="shared" si="98"/>
        <v>5.2223242323248087</v>
      </c>
      <c r="K8">
        <f t="shared" si="98"/>
        <v>4.2647746398127424</v>
      </c>
      <c r="L8">
        <f t="shared" si="98"/>
        <v>3.3467938613222827</v>
      </c>
      <c r="M8">
        <f t="shared" si="98"/>
        <v>2.4617253827040031</v>
      </c>
      <c r="N8">
        <f t="shared" si="98"/>
        <v>1.604824223121966</v>
      </c>
      <c r="O8">
        <f t="shared" si="98"/>
        <v>0.77253507089687901</v>
      </c>
      <c r="P8">
        <f t="shared" si="98"/>
        <v>3.7906083480265806E-2</v>
      </c>
      <c r="Q8">
        <f t="shared" si="98"/>
        <v>0.82871004632244194</v>
      </c>
      <c r="R8">
        <f t="shared" si="98"/>
        <v>1.6016855840472317</v>
      </c>
      <c r="S8">
        <f t="shared" si="98"/>
        <v>2.3583400517262589</v>
      </c>
      <c r="T8">
        <f t="shared" si="98"/>
        <v>3.0999489948383143</v>
      </c>
      <c r="U8">
        <f t="shared" si="98"/>
        <v>3.8276058359384706</v>
      </c>
      <c r="V8">
        <f t="shared" si="98"/>
        <v>4.5422582985150939</v>
      </c>
      <c r="W8">
        <f t="shared" si="98"/>
        <v>5.2447357191762194</v>
      </c>
      <c r="X8">
        <f t="shared" si="98"/>
        <v>5.9357699311885312</v>
      </c>
      <c r="Y8">
        <f t="shared" si="98"/>
        <v>6.6160115066139156</v>
      </c>
      <c r="Z8">
        <f t="shared" si="98"/>
        <v>7.2860425791793659</v>
      </c>
      <c r="AA8">
        <f t="shared" si="98"/>
        <v>7.9463871030207542</v>
      </c>
      <c r="AB8">
        <f t="shared" si="98"/>
        <v>8.5975191579364036</v>
      </c>
      <c r="AC8">
        <f t="shared" si="98"/>
        <v>9.2398697451552607</v>
      </c>
      <c r="AD8">
        <f t="shared" si="98"/>
        <v>9.8738324017579657</v>
      </c>
      <c r="AE8">
        <f t="shared" si="98"/>
        <v>10.49976787982655</v>
      </c>
      <c r="AF8">
        <f t="shared" si="98"/>
        <v>11.118008077342267</v>
      </c>
      <c r="AG8">
        <f t="shared" si="98"/>
        <v>11.728859364680147</v>
      </c>
      <c r="AH8">
        <f t="shared" si="98"/>
        <v>12.332605418596359</v>
      </c>
      <c r="AI8">
        <f t="shared" si="98"/>
        <v>12.929509651613671</v>
      </c>
      <c r="AJ8">
        <f t="shared" si="98"/>
        <v>13.519817306542336</v>
      </c>
      <c r="AK8">
        <f t="shared" si="98"/>
        <v>14.103757271918994</v>
      </c>
      <c r="AL8">
        <f t="shared" si="98"/>
        <v>14.681543663355228</v>
      </c>
      <c r="AM8">
        <f t="shared" si="98"/>
        <v>15.253377207352685</v>
      </c>
      <c r="AN8">
        <f t="shared" si="98"/>
        <v>15.81944645750292</v>
      </c>
      <c r="AO8">
        <f t="shared" si="98"/>
        <v>16.379928867702802</v>
      </c>
      <c r="AP8">
        <f t="shared" si="98"/>
        <v>16.934991742803618</v>
      </c>
      <c r="AQ8">
        <f t="shared" si="98"/>
        <v>17.484793083708496</v>
      </c>
      <c r="AR8">
        <f t="shared" si="98"/>
        <v>18.02948234117008</v>
      </c>
      <c r="AS8">
        <f t="shared" si="98"/>
        <v>18.56920109029835</v>
      </c>
      <c r="AT8">
        <f t="shared" si="98"/>
        <v>19.104083635935638</v>
      </c>
      <c r="AU8">
        <f t="shared" si="98"/>
        <v>19.634257557537353</v>
      </c>
      <c r="AV8">
        <f t="shared" ref="AV8" si="99">ABS(AV7-$C$5)</f>
        <v>20.159844200929513</v>
      </c>
      <c r="AW8">
        <f t="shared" ref="AW8" si="100">ABS(AW7-$C$5)</f>
        <v>20.680959123264927</v>
      </c>
      <c r="AX8">
        <f t="shared" ref="AX8" si="101">ABS(AX7-$C$5)</f>
        <v>21.197712496616418</v>
      </c>
      <c r="AY8">
        <f t="shared" ref="AY8" si="102">ABS(AY7-$C$5)</f>
        <v>21.710209474904445</v>
      </c>
      <c r="AZ8">
        <f t="shared" ref="AZ8" si="103">ABS(AZ7-$C$5)</f>
        <v>22.218550528232015</v>
      </c>
      <c r="BA8">
        <f t="shared" ref="BA8" si="104">ABS(BA7-$C$5)</f>
        <v>22.722831748164083</v>
      </c>
      <c r="BB8">
        <f t="shared" ref="BB8" si="105">ABS(BB7-$C$5)</f>
        <v>23.223145127044688</v>
      </c>
      <c r="BC8">
        <f t="shared" ref="BC8" si="106">ABS(BC7-$C$5)</f>
        <v>23.719578814053989</v>
      </c>
      <c r="BD8">
        <f t="shared" ref="BD8" si="107">ABS(BD7-$C$5)</f>
        <v>24.212217350373294</v>
      </c>
      <c r="BE8">
        <f t="shared" ref="BE8" si="108">ABS(BE7-$C$5)</f>
        <v>24.701141885550442</v>
      </c>
      <c r="BF8">
        <f t="shared" ref="BF8" si="109">ABS(BF7-$C$5)</f>
        <v>25.186430376907197</v>
      </c>
      <c r="BG8">
        <f t="shared" ref="BG8" si="110">ABS(BG7-$C$5)</f>
        <v>25.668157773616144</v>
      </c>
      <c r="BH8">
        <f t="shared" ref="BH8" si="111">ABS(BH7-$C$5)</f>
        <v>26.146396186892616</v>
      </c>
      <c r="BI8">
        <f t="shared" ref="BI8" si="112">ABS(BI7-$C$5)</f>
        <v>26.621215047589942</v>
      </c>
      <c r="BJ8">
        <f t="shared" ref="BJ8" si="113">ABS(BJ7-$C$5)</f>
        <v>27.092681252338423</v>
      </c>
      <c r="BK8">
        <f t="shared" ref="BK8" si="114">ABS(BK7-$C$5)</f>
        <v>27.560859299253423</v>
      </c>
      <c r="BL8">
        <f t="shared" ref="BL8" si="115">ABS(BL7-$C$5)</f>
        <v>28.025811414123609</v>
      </c>
      <c r="BM8">
        <f t="shared" ref="BM8" si="116">ABS(BM7-$C$5)</f>
        <v>28.487597667904595</v>
      </c>
      <c r="BN8">
        <f t="shared" ref="BN8" si="117">ABS(BN7-$C$5)</f>
        <v>28.94627608624819</v>
      </c>
      <c r="BO8">
        <f t="shared" ref="BO8" si="118">ABS(BO7-$C$5)</f>
        <v>29.401902751737907</v>
      </c>
      <c r="BP8">
        <f t="shared" ref="BP8" si="119">ABS(BP7-$C$5)</f>
        <v>29.854531899419953</v>
      </c>
      <c r="BQ8">
        <f t="shared" ref="BQ8" si="120">ABS(BQ7-$C$5)</f>
        <v>30.304216006178081</v>
      </c>
      <c r="BR8">
        <f t="shared" ref="BR8" si="121">ABS(BR7-$C$5)</f>
        <v>30.751005874434327</v>
      </c>
      <c r="BS8">
        <f t="shared" ref="BS8" si="122">ABS(BS7-$C$5)</f>
        <v>31.194950710623687</v>
      </c>
      <c r="BT8">
        <f t="shared" ref="BT8" si="123">ABS(BT7-$C$5)</f>
        <v>31.636098198839022</v>
      </c>
      <c r="BU8">
        <f t="shared" ref="BU8" si="124">ABS(BU7-$C$5)</f>
        <v>32.074494570018032</v>
      </c>
      <c r="BV8">
        <f t="shared" ref="BV8" si="125">ABS(BV7-$C$5)</f>
        <v>32.510184667001681</v>
      </c>
      <c r="BW8">
        <f t="shared" ref="BW8" si="126">ABS(BW7-$C$5)</f>
        <v>32.943212005764224</v>
      </c>
      <c r="BX8">
        <f t="shared" ref="BX8" si="127">ABS(BX7-$C$5)</f>
        <v>33.373618833099783</v>
      </c>
      <c r="BY8">
        <f t="shared" ref="BY8" si="128">ABS(BY7-$C$5)</f>
        <v>33.801446181011613</v>
      </c>
      <c r="BZ8">
        <f t="shared" ref="BZ8" si="129">ABS(BZ7-$C$5)</f>
        <v>34.226733918039486</v>
      </c>
      <c r="CA8">
        <f t="shared" ref="CA8" si="130">ABS(CA7-$C$5)</f>
        <v>34.6495207977365</v>
      </c>
      <c r="CB8">
        <f t="shared" ref="CB8" si="131">ABS(CB7-$C$5)</f>
        <v>35.069844504492721</v>
      </c>
      <c r="CC8">
        <f t="shared" ref="CC8" si="132">ABS(CC7-$C$5)</f>
        <v>35.487741696879027</v>
      </c>
      <c r="CD8">
        <f t="shared" ref="CD8" si="133">ABS(CD7-$C$5)</f>
        <v>35.903248048685441</v>
      </c>
      <c r="CE8">
        <f t="shared" ref="CE8" si="134">ABS(CE7-$C$5)</f>
        <v>36.316398287796687</v>
      </c>
      <c r="CF8">
        <f t="shared" ref="CF8" si="135">ABS(CF7-$C$5)</f>
        <v>36.727226233050771</v>
      </c>
      <c r="CG8">
        <f t="shared" ref="CG8" si="136">ABS(CG7-$C$5)</f>
        <v>37.135764829208028</v>
      </c>
      <c r="CH8">
        <f t="shared" ref="CH8" si="137">ABS(CH7-$C$5)</f>
        <v>37.542046180150237</v>
      </c>
      <c r="CI8">
        <f t="shared" ref="CI8" si="138">ABS(CI7-$C$5)</f>
        <v>37.946101580420702</v>
      </c>
      <c r="CJ8">
        <f t="shared" ref="CJ8" si="139">ABS(CJ7-$C$5)</f>
        <v>38.347961545206942</v>
      </c>
      <c r="CK8">
        <f t="shared" ref="CK8" si="140">ABS(CK7-$C$5)</f>
        <v>38.747655838862556</v>
      </c>
      <c r="CL8">
        <f t="shared" ref="CL8" si="141">ABS(CL7-$C$5)</f>
        <v>39.145213502052911</v>
      </c>
      <c r="CM8">
        <f t="shared" ref="CM8" si="142">ABS(CM7-$C$5)</f>
        <v>39.540662877612306</v>
      </c>
      <c r="CN8">
        <f t="shared" ref="CN8" si="143">ABS(CN7-$C$5)</f>
        <v>39.934031635179906</v>
      </c>
      <c r="CO8">
        <f t="shared" ref="CO8" si="144">ABS(CO7-$C$5)</f>
        <v>40.325346794695065</v>
      </c>
      <c r="CP8">
        <f t="shared" ref="CP8" si="145">ABS(CP7-$C$5)</f>
        <v>40.714634748811136</v>
      </c>
      <c r="CQ8">
        <f t="shared" ref="CQ8" si="146">ABS(CQ7-$C$5)</f>
        <v>41.101921284287528</v>
      </c>
      <c r="CR8">
        <f t="shared" ref="CR8" si="147">ABS(CR7-$C$5)</f>
        <v>41.487231602426675</v>
      </c>
      <c r="CS8">
        <f t="shared" ref="CS8" si="148">ABS(CS7-$C$5)</f>
        <v>41.8705903385993</v>
      </c>
      <c r="CT8">
        <f t="shared" ref="CT8" si="149">ABS(CT7-$C$5)</f>
        <v>42.252021580909968</v>
      </c>
      <c r="CU8">
        <f t="shared" ref="CU8" si="150">ABS(CU7-$C$5)</f>
        <v>42.631548888057637</v>
      </c>
      <c r="CV8">
        <f t="shared" ref="CV8" si="151">ABS(CV7-$C$5)</f>
        <v>43.009195306421589</v>
      </c>
      <c r="CW8">
        <f t="shared" ref="CW8" si="152">ABS(CW7-$C$5)</f>
        <v>43.38498338642421</v>
      </c>
      <c r="CX8">
        <f t="shared" ref="CX8" si="153">ABS(CX7-$C$5)</f>
        <v>43.758935198204824</v>
      </c>
      <c r="CY8">
        <f t="shared" ref="CY8" si="154">ABS(CY7-$C$5)</f>
        <v>44.131072346638462</v>
      </c>
      <c r="CZ8">
        <f t="shared" ref="CZ8" si="155">ABS(CZ7-$C$5)</f>
        <v>44.501415985738731</v>
      </c>
      <c r="DA8">
        <f t="shared" ref="DA8" si="156">ABS(DA7-$C$5)</f>
        <v>44.869986832469863</v>
      </c>
    </row>
    <row r="9" spans="2:105" x14ac:dyDescent="0.25">
      <c r="B9" t="s">
        <v>61</v>
      </c>
      <c r="C9">
        <f>MIN(F8:AU8)</f>
        <v>3.7906083480265806E-2</v>
      </c>
    </row>
    <row r="10" spans="2:105" x14ac:dyDescent="0.25">
      <c r="B10" t="s">
        <v>62</v>
      </c>
      <c r="C10">
        <f>_xlfn.XMATCH(C9,F8:AU8)</f>
        <v>11</v>
      </c>
    </row>
    <row r="11" spans="2:105" x14ac:dyDescent="0.25">
      <c r="B11" t="s">
        <v>63</v>
      </c>
      <c r="C11" cm="1">
        <f t="array" ref="C11">INDEX(F4:AU4,C$10)</f>
        <v>2.0099999999999998</v>
      </c>
      <c r="E11" t="s">
        <v>66</v>
      </c>
      <c r="AA11">
        <f>AA4*ACOSH((($C$4+AA4)/AA4))</f>
        <v>22.134462137403741</v>
      </c>
    </row>
    <row r="12" spans="2:105" x14ac:dyDescent="0.25">
      <c r="B12" t="s">
        <v>64</v>
      </c>
      <c r="C12" cm="1">
        <f t="array" ref="C12">INDEX(F5:AU5,C$10)</f>
        <v>17.957118822927626</v>
      </c>
    </row>
    <row r="13" spans="2:105" x14ac:dyDescent="0.25">
      <c r="B13" t="s">
        <v>65</v>
      </c>
      <c r="C13" cm="1">
        <f t="array" ref="C13">INDEX(F6:AU6,C10)</f>
        <v>402.00497509359212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 envt</vt:lpstr>
      <vt:lpstr>Traînée ROV</vt:lpstr>
      <vt:lpstr>Traînée câble</vt:lpstr>
      <vt:lpstr>Initialisation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Delort</dc:creator>
  <cp:lastModifiedBy>Jacques Delort</cp:lastModifiedBy>
  <dcterms:created xsi:type="dcterms:W3CDTF">2026-01-12T12:26:06Z</dcterms:created>
  <dcterms:modified xsi:type="dcterms:W3CDTF">2026-04-15T15:52:28Z</dcterms:modified>
</cp:coreProperties>
</file>